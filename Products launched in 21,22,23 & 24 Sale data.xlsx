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WORK\Mudra Mam\"/>
    </mc:Choice>
  </mc:AlternateContent>
  <xr:revisionPtr revIDLastSave="0" documentId="13_ncr:1_{F2AD787A-6727-44E9-984F-5C0C8A6E02F7}" xr6:coauthVersionLast="47" xr6:coauthVersionMax="47" xr10:uidLastSave="{00000000-0000-0000-0000-000000000000}"/>
  <bookViews>
    <workbookView xWindow="-108" yWindow="-108" windowWidth="23256" windowHeight="12456" activeTab="2" xr2:uid="{0BEE9AF6-A961-4057-A207-0BA4E37796D9}"/>
  </bookViews>
  <sheets>
    <sheet name="PRODUCTS LAUNCHED IN 2021" sheetId="1" r:id="rId1"/>
    <sheet name="PRODUCTS LAUNCHED IN 2022" sheetId="2" r:id="rId2"/>
    <sheet name="PRODUCTS LAUNCHED IN 2023" sheetId="3" r:id="rId3"/>
    <sheet name="PRODUCTS LAUNCHED IN 202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4" i="3" l="1"/>
  <c r="X5" i="3"/>
  <c r="X6" i="3"/>
  <c r="X7" i="3"/>
  <c r="X8" i="3"/>
  <c r="X9" i="3"/>
  <c r="X10" i="3"/>
  <c r="X11" i="3"/>
  <c r="X12" i="3"/>
  <c r="X13" i="3"/>
  <c r="X14" i="3"/>
  <c r="X15" i="3"/>
  <c r="X16" i="3"/>
  <c r="X3" i="3"/>
  <c r="AA4" i="2"/>
  <c r="AA5" i="2"/>
  <c r="AA6" i="2"/>
  <c r="AA7" i="2"/>
  <c r="AA8" i="2"/>
  <c r="AA3" i="2"/>
  <c r="Z4" i="2"/>
  <c r="Z5" i="2"/>
  <c r="Z6" i="2"/>
  <c r="Z7" i="2"/>
  <c r="Z8" i="2"/>
  <c r="Z3" i="2"/>
  <c r="AD4" i="1"/>
  <c r="AD5" i="1"/>
  <c r="AD3" i="1"/>
  <c r="AC4" i="1"/>
  <c r="AC5" i="1"/>
  <c r="AC3" i="1"/>
  <c r="AB4" i="1"/>
  <c r="AB5" i="1"/>
  <c r="AB3" i="1"/>
  <c r="D6" i="4"/>
  <c r="E6" i="4"/>
  <c r="F6" i="4"/>
  <c r="C6" i="4"/>
  <c r="K42" i="4"/>
  <c r="L42" i="4"/>
  <c r="M42" i="4"/>
  <c r="J42" i="4"/>
  <c r="J43" i="4" s="1"/>
  <c r="J24" i="4"/>
  <c r="L24" i="4"/>
  <c r="K24" i="4"/>
  <c r="M24" i="4"/>
  <c r="K16" i="4"/>
  <c r="L16" i="4"/>
  <c r="M16" i="4"/>
  <c r="J16" i="4"/>
  <c r="S6" i="1"/>
  <c r="T6" i="1"/>
  <c r="U6" i="1"/>
  <c r="AB6" i="1" s="1"/>
  <c r="V6" i="1"/>
  <c r="W6" i="1"/>
  <c r="AC6" i="1" s="1"/>
  <c r="X6" i="1"/>
  <c r="Y6" i="1"/>
  <c r="AD6" i="1" s="1"/>
  <c r="Z6" i="1"/>
  <c r="AA6" i="1"/>
  <c r="R6" i="1"/>
  <c r="S8" i="2"/>
  <c r="T8" i="2"/>
  <c r="U8" i="2"/>
  <c r="V8" i="2"/>
  <c r="W8" i="2"/>
  <c r="X8" i="2"/>
  <c r="Y8" i="2"/>
  <c r="R8" i="2"/>
  <c r="AF75" i="2"/>
  <c r="AG75" i="2"/>
  <c r="AH75" i="2"/>
  <c r="AI75" i="2"/>
  <c r="AJ75" i="2"/>
  <c r="AK75" i="2"/>
  <c r="AL75" i="2"/>
  <c r="AE75" i="2"/>
  <c r="AF59" i="2"/>
  <c r="AG59" i="2"/>
  <c r="AH59" i="2"/>
  <c r="AI59" i="2"/>
  <c r="AJ59" i="2"/>
  <c r="AK59" i="2"/>
  <c r="AL59" i="2"/>
  <c r="AE59" i="2"/>
  <c r="AF41" i="2"/>
  <c r="AG41" i="2"/>
  <c r="AH41" i="2"/>
  <c r="AI41" i="2"/>
  <c r="AJ41" i="2"/>
  <c r="AK41" i="2"/>
  <c r="AL41" i="2"/>
  <c r="AE41" i="2"/>
  <c r="AF23" i="2"/>
  <c r="AG23" i="2"/>
  <c r="AH23" i="2"/>
  <c r="AI23" i="2"/>
  <c r="AJ23" i="2"/>
  <c r="AK23" i="2"/>
  <c r="AL23" i="2"/>
  <c r="AF12" i="2"/>
  <c r="AG12" i="2"/>
  <c r="AH12" i="2"/>
  <c r="AI12" i="2"/>
  <c r="AJ12" i="2"/>
  <c r="AK12" i="2"/>
  <c r="AL12" i="2"/>
  <c r="S16" i="3"/>
  <c r="T16" i="3"/>
  <c r="U16" i="3"/>
  <c r="V16" i="3"/>
  <c r="W16" i="3"/>
  <c r="R16" i="3"/>
  <c r="AF215" i="3"/>
  <c r="AG199" i="3"/>
  <c r="AF199" i="3"/>
  <c r="AG163" i="3"/>
  <c r="AG150" i="3"/>
  <c r="AF150" i="3"/>
  <c r="AC215" i="3"/>
  <c r="AD215" i="3"/>
  <c r="AE215" i="3"/>
  <c r="AG215" i="3"/>
  <c r="AB215" i="3"/>
  <c r="AC199" i="3"/>
  <c r="AD199" i="3"/>
  <c r="AE199" i="3"/>
  <c r="AB199" i="3"/>
  <c r="AC183" i="3"/>
  <c r="AD183" i="3"/>
  <c r="AE183" i="3"/>
  <c r="AF183" i="3"/>
  <c r="AB183" i="3"/>
  <c r="AC163" i="3"/>
  <c r="AD163" i="3"/>
  <c r="AE163" i="3"/>
  <c r="AF163" i="3"/>
  <c r="AB163" i="3"/>
  <c r="AC150" i="3"/>
  <c r="AD150" i="3"/>
  <c r="AE150" i="3"/>
  <c r="AB150" i="3"/>
  <c r="AC131" i="3"/>
  <c r="AD131" i="3"/>
  <c r="AE131" i="3"/>
  <c r="AF131" i="3"/>
  <c r="AG131" i="3"/>
  <c r="AB131" i="3"/>
  <c r="AC113" i="3"/>
  <c r="AD113" i="3"/>
  <c r="AE113" i="3"/>
  <c r="AF113" i="3"/>
  <c r="AG113" i="3"/>
  <c r="AB113" i="3"/>
  <c r="AC95" i="3"/>
  <c r="AD95" i="3"/>
  <c r="AE95" i="3"/>
  <c r="AF95" i="3"/>
  <c r="AG95" i="3"/>
  <c r="AB95" i="3"/>
  <c r="AC81" i="3"/>
  <c r="AD81" i="3"/>
  <c r="AE81" i="3"/>
  <c r="AF81" i="3"/>
  <c r="AG81" i="3"/>
  <c r="AB81" i="3"/>
  <c r="AC64" i="3"/>
  <c r="AD64" i="3"/>
  <c r="AE64" i="3"/>
  <c r="AF64" i="3"/>
  <c r="AG64" i="3"/>
  <c r="AB64" i="3"/>
  <c r="AC46" i="3"/>
  <c r="AD46" i="3"/>
  <c r="AE46" i="3"/>
  <c r="AF46" i="3"/>
  <c r="AG46" i="3"/>
  <c r="AB46" i="3"/>
  <c r="AC28" i="3"/>
  <c r="AD28" i="3"/>
  <c r="AE28" i="3"/>
  <c r="AF28" i="3"/>
  <c r="AG28" i="3"/>
  <c r="AB28" i="3"/>
  <c r="AC16" i="3"/>
  <c r="AD16" i="3"/>
  <c r="AE16" i="3"/>
  <c r="AF16" i="3"/>
  <c r="AG16" i="3"/>
  <c r="AB16" i="3"/>
  <c r="AE23" i="2"/>
  <c r="AE12" i="2"/>
  <c r="AP46" i="1"/>
  <c r="AQ46" i="1"/>
  <c r="AP32" i="1"/>
  <c r="AQ32" i="1"/>
  <c r="AQ47" i="1" s="1"/>
  <c r="AP18" i="1"/>
  <c r="AQ18" i="1"/>
  <c r="AI46" i="1"/>
  <c r="AJ46" i="1"/>
  <c r="AK46" i="1"/>
  <c r="AL46" i="1"/>
  <c r="AM46" i="1"/>
  <c r="AN46" i="1"/>
  <c r="AO46" i="1"/>
  <c r="AH46" i="1"/>
  <c r="AI32" i="1"/>
  <c r="AJ32" i="1"/>
  <c r="AK32" i="1"/>
  <c r="AL32" i="1"/>
  <c r="AM32" i="1"/>
  <c r="AN32" i="1"/>
  <c r="AO32" i="1"/>
  <c r="AH32" i="1"/>
  <c r="AI18" i="1"/>
  <c r="AJ18" i="1"/>
  <c r="AK18" i="1"/>
  <c r="AL18" i="1"/>
  <c r="AM18" i="1"/>
  <c r="AN18" i="1"/>
  <c r="AO18" i="1"/>
  <c r="AH18" i="1"/>
  <c r="AL47" i="1" l="1"/>
  <c r="L43" i="4"/>
  <c r="K43" i="4"/>
  <c r="M43" i="4"/>
  <c r="AJ47" i="1"/>
  <c r="AM47" i="1"/>
  <c r="AI47" i="1"/>
  <c r="AH47" i="1"/>
  <c r="AO47" i="1"/>
  <c r="AK47" i="1"/>
  <c r="AP47" i="1"/>
  <c r="AN47" i="1"/>
  <c r="AF76" i="2"/>
  <c r="AE76" i="2"/>
  <c r="AI76" i="2"/>
  <c r="AL76" i="2"/>
  <c r="AH76" i="2"/>
  <c r="AJ76" i="2"/>
  <c r="AK76" i="2"/>
  <c r="AG76" i="2"/>
  <c r="AD216" i="3"/>
  <c r="AB216" i="3"/>
  <c r="AG183" i="3"/>
  <c r="AG216" i="3" s="1"/>
  <c r="AC216" i="3"/>
  <c r="AE216" i="3"/>
  <c r="AF216" i="3"/>
</calcChain>
</file>

<file path=xl/sharedStrings.xml><?xml version="1.0" encoding="utf-8"?>
<sst xmlns="http://schemas.openxmlformats.org/spreadsheetml/2006/main" count="703" uniqueCount="181">
  <si>
    <t>Sr. No.</t>
  </si>
  <si>
    <t>Product Name</t>
  </si>
  <si>
    <t xml:space="preserve">Product launch date </t>
  </si>
  <si>
    <t>Certification</t>
  </si>
  <si>
    <t>Form</t>
  </si>
  <si>
    <t>Application</t>
  </si>
  <si>
    <t>Recommended Crops</t>
  </si>
  <si>
    <t>Category</t>
  </si>
  <si>
    <t>Content Based Category</t>
  </si>
  <si>
    <t>Function Based Category</t>
  </si>
  <si>
    <t xml:space="preserve">Launching Objective </t>
  </si>
  <si>
    <t>Business Type</t>
  </si>
  <si>
    <r>
      <t>Pricing</t>
    </r>
    <r>
      <rPr>
        <b/>
        <sz val="8"/>
        <color theme="0"/>
        <rFont val="Calibri"/>
        <family val="2"/>
      </rPr>
      <t xml:space="preserve"> 2023-24
(Dealer Rate for 1L or 1Kg)</t>
    </r>
  </si>
  <si>
    <r>
      <t xml:space="preserve">Average Dealer </t>
    </r>
    <r>
      <rPr>
        <b/>
        <sz val="8"/>
        <color theme="0"/>
        <rFont val="Calibri"/>
        <family val="2"/>
      </rPr>
      <t>Rate 2023-24per L/Kg 
(new col)</t>
    </r>
  </si>
  <si>
    <t>GST</t>
  </si>
  <si>
    <r>
      <t>Profitability</t>
    </r>
    <r>
      <rPr>
        <b/>
        <sz val="8"/>
        <color theme="0"/>
        <rFont val="Calibri"/>
        <family val="2"/>
      </rPr>
      <t xml:space="preserve"> (Percentile Categ 2)</t>
    </r>
  </si>
  <si>
    <t>ID NSQ Graphic</t>
  </si>
  <si>
    <t>CABOZN (L)</t>
  </si>
  <si>
    <t>FCO</t>
  </si>
  <si>
    <t xml:space="preserve">Liquid </t>
  </si>
  <si>
    <t>Foliar</t>
  </si>
  <si>
    <t xml:space="preserve">Horticulture </t>
  </si>
  <si>
    <t xml:space="preserve">MULTI-MICRONUTRIENT </t>
  </si>
  <si>
    <t xml:space="preserve">CALCIUM_BORON BASED </t>
  </si>
  <si>
    <t xml:space="preserve">Alternate for FCO inclusion </t>
  </si>
  <si>
    <t>B</t>
  </si>
  <si>
    <t>CERESIL (L)</t>
  </si>
  <si>
    <t>SILICON BASED</t>
  </si>
  <si>
    <t>C</t>
  </si>
  <si>
    <t>MIGHTY (L)</t>
  </si>
  <si>
    <t>Non-FCO</t>
  </si>
  <si>
    <t>INSECTICIDE</t>
  </si>
  <si>
    <t>INSECT CONTROLLER</t>
  </si>
  <si>
    <t>A</t>
  </si>
  <si>
    <t>ALKREACH (Kg)</t>
  </si>
  <si>
    <t>Powder</t>
  </si>
  <si>
    <t xml:space="preserve">Under FCO </t>
  </si>
  <si>
    <t>COTREACH (Kg)</t>
  </si>
  <si>
    <t xml:space="preserve"> </t>
  </si>
  <si>
    <t>FEROZN (Kg)</t>
  </si>
  <si>
    <t>Soil</t>
  </si>
  <si>
    <t>FERROUS BASED</t>
  </si>
  <si>
    <t>D</t>
  </si>
  <si>
    <t>TAPPET (Kg)</t>
  </si>
  <si>
    <t>Flowering Enhancement</t>
  </si>
  <si>
    <t xml:space="preserve">Conseptual </t>
  </si>
  <si>
    <t>ZIST (Kg)</t>
  </si>
  <si>
    <t>Soil/Drip</t>
  </si>
  <si>
    <t>ZINC BASED</t>
  </si>
  <si>
    <t>AGRINA (Kg)</t>
  </si>
  <si>
    <t>FCO (100% WSF)</t>
  </si>
  <si>
    <t>Soil/Foliar/Drip</t>
  </si>
  <si>
    <t>Paddy</t>
  </si>
  <si>
    <t xml:space="preserve">MACRO &amp; MICRO-NUTRIENT </t>
  </si>
  <si>
    <t>AMIBORE-10 (L)</t>
  </si>
  <si>
    <t>BORON BASED/SINGLE SULPHATE</t>
  </si>
  <si>
    <t>BOROCINE (L)</t>
  </si>
  <si>
    <t>GLYCINE BASED</t>
  </si>
  <si>
    <t>CALCINE (L)</t>
  </si>
  <si>
    <t>ZINCACINE (L)</t>
  </si>
  <si>
    <t>NUTRI NEST-33 (Kg)</t>
  </si>
  <si>
    <t>NUTRI NEST-36 (Kg)</t>
  </si>
  <si>
    <t>NUTRI NEST-55 (Kg)</t>
  </si>
  <si>
    <t>BIO-TROPH (GRN) (Kg)</t>
  </si>
  <si>
    <t>FCO (Biofertilizer)</t>
  </si>
  <si>
    <t>Granular</t>
  </si>
  <si>
    <t>BIOFERTILIZER</t>
  </si>
  <si>
    <t>BIO-TROPH (POWDER) (Kg)</t>
  </si>
  <si>
    <t>Drip</t>
  </si>
  <si>
    <t>A+</t>
  </si>
  <si>
    <t>NUTRI NEST-46 (Kg)</t>
  </si>
  <si>
    <t>NUTRI NEST-52 (Kg)</t>
  </si>
  <si>
    <t>NUTRI NEST-57 (Kg)</t>
  </si>
  <si>
    <t>SALE IN
2021-22</t>
  </si>
  <si>
    <t>SALE IN
2022-23</t>
  </si>
  <si>
    <t>SALE IN
2023-24</t>
  </si>
  <si>
    <t>SALE IN
2024-25</t>
  </si>
  <si>
    <t>SALE IN
2025-26 (YTD JUNE)</t>
  </si>
  <si>
    <t>QUANTITY</t>
  </si>
  <si>
    <t>AMOUNT</t>
  </si>
  <si>
    <t>ANKUR CABOZN (L)</t>
  </si>
  <si>
    <t>MARATHWADA</t>
  </si>
  <si>
    <t>W-MAHARASHTRA</t>
  </si>
  <si>
    <t>ANKUR CERESIL (L)</t>
  </si>
  <si>
    <t>ANKUR MIGHTY (L)</t>
  </si>
  <si>
    <t>Grand Total</t>
  </si>
  <si>
    <t>NSQ (21-22)</t>
  </si>
  <si>
    <t>NSA (21-22)</t>
  </si>
  <si>
    <t>NSQ (22-23)</t>
  </si>
  <si>
    <t>NSA (22-23)</t>
  </si>
  <si>
    <t>NSQ (23-24)</t>
  </si>
  <si>
    <t>NSA (23-24)</t>
  </si>
  <si>
    <t>PRODUCT NAME</t>
  </si>
  <si>
    <t>REGIONS</t>
  </si>
  <si>
    <t>REGION</t>
  </si>
  <si>
    <t>ANKUR ALKREACH</t>
  </si>
  <si>
    <t>ANKUR ALKREACH Total</t>
  </si>
  <si>
    <t>ANKUR COTREACH</t>
  </si>
  <si>
    <t>ANKUR COTREACH Total</t>
  </si>
  <si>
    <t>ANKUR FEROZN</t>
  </si>
  <si>
    <t>ANKUR FEROZN Total</t>
  </si>
  <si>
    <t>ANKUR TAPPET</t>
  </si>
  <si>
    <t>ANKUR TAPPET Total</t>
  </si>
  <si>
    <t>ANKUR ZIST</t>
  </si>
  <si>
    <t>ANKUR ZIST Total</t>
  </si>
  <si>
    <t>NSQ 22-23</t>
  </si>
  <si>
    <t>NSA 22-23</t>
  </si>
  <si>
    <t>NSQ 23-24</t>
  </si>
  <si>
    <t>NSA 23-24</t>
  </si>
  <si>
    <t>NSQ 24-25</t>
  </si>
  <si>
    <t>NSA 24-25</t>
  </si>
  <si>
    <t>ANKUR AGRINA</t>
  </si>
  <si>
    <t>ANKUR AGRINA Total</t>
  </si>
  <si>
    <t>ANKUR AMIBOR</t>
  </si>
  <si>
    <t>ANKUR AMIBOR Total</t>
  </si>
  <si>
    <t>ANKUR BOROCINE</t>
  </si>
  <si>
    <t>ANKUR BOROCINE Total</t>
  </si>
  <si>
    <t>ANKUR CALCINE</t>
  </si>
  <si>
    <t>ANKUR CALCINE Total</t>
  </si>
  <si>
    <t>ANKUR ZINCACINE</t>
  </si>
  <si>
    <t>ANKUR ZINCACINE Total</t>
  </si>
  <si>
    <t>ANKUR NUTRI NEST 33</t>
  </si>
  <si>
    <t>ANKUR NUTRI NEST 33 Total</t>
  </si>
  <si>
    <t>ANKUR NUTRI NEST 36</t>
  </si>
  <si>
    <t>ANKUR NUTRI NEST 36 Total</t>
  </si>
  <si>
    <t>ANKUR NUTRI NEST 55</t>
  </si>
  <si>
    <t>ANKUR NUTRI NEST 55 Total</t>
  </si>
  <si>
    <t>ANKUR BIO TROPH (GRANULE)</t>
  </si>
  <si>
    <t>ANKUR BIO TROPH (GRANULE) Total</t>
  </si>
  <si>
    <t>ANKUR BIO TROPH (POWDER)</t>
  </si>
  <si>
    <t>ANKUR BIO TROPH (POWDER) Total</t>
  </si>
  <si>
    <t>ANKUR NUTRI NEST 46</t>
  </si>
  <si>
    <t>ANKUR NUTRI NEST 46 Total</t>
  </si>
  <si>
    <t>ANKUR NUTRI NEST 52</t>
  </si>
  <si>
    <t>ANKUR NUTRI NEST 52 Total</t>
  </si>
  <si>
    <t>ANKUR NUTRI NEST 57</t>
  </si>
  <si>
    <t>ANKUR NUTRI NEST 57 Total</t>
  </si>
  <si>
    <t>GRAND TOTAL</t>
  </si>
  <si>
    <t>NSQ (24-25)</t>
  </si>
  <si>
    <t>NSA (24-25)</t>
  </si>
  <si>
    <t>AKOLA</t>
  </si>
  <si>
    <t>GUJRAT</t>
  </si>
  <si>
    <t>HARIYANA</t>
  </si>
  <si>
    <t>KARNATAKA</t>
  </si>
  <si>
    <t>KHANDESH</t>
  </si>
  <si>
    <t>M. P.</t>
  </si>
  <si>
    <t>NAGPUR</t>
  </si>
  <si>
    <t>PRODUCTION</t>
  </si>
  <si>
    <t>TAMILNADU</t>
  </si>
  <si>
    <t>UTTARAKHAND</t>
  </si>
  <si>
    <t>YAVATMAL</t>
  </si>
  <si>
    <t>PERSONAL</t>
  </si>
  <si>
    <t>LUCKNOW</t>
  </si>
  <si>
    <t>JAIPUR</t>
  </si>
  <si>
    <t>NSQ (25-26)
YTD JUNE</t>
  </si>
  <si>
    <t>NSA (25-26)
YTD JUNE</t>
  </si>
  <si>
    <t>CHHATTISGARH</t>
  </si>
  <si>
    <t>HYDERABAD</t>
  </si>
  <si>
    <t>GUNTUR</t>
  </si>
  <si>
    <t>JHARKHAND</t>
  </si>
  <si>
    <t>PATNA</t>
  </si>
  <si>
    <t>CHOK-FREE</t>
  </si>
  <si>
    <t>DIATOSIL</t>
  </si>
  <si>
    <t>FAST+K</t>
  </si>
  <si>
    <t>TOTAL</t>
  </si>
  <si>
    <t>ANKUR CHOKE FREE (DRIP)</t>
  </si>
  <si>
    <t>ANKUR DIATO - SIL</t>
  </si>
  <si>
    <t>ANKUR FAST+K</t>
  </si>
  <si>
    <t>ANKUR CHOKE FREE (DRIP) TOTAL</t>
  </si>
  <si>
    <t>ANKUR DIATO - SIL TOTAL</t>
  </si>
  <si>
    <t>ANKUR FAST+K TOTAL</t>
  </si>
  <si>
    <t>ANKUR CABOZN (L) TOTAL</t>
  </si>
  <si>
    <t>ANKUR CERESIL (L)  TOTAL</t>
  </si>
  <si>
    <t>ANKUR MIGHTY (L) TOTAL</t>
  </si>
  <si>
    <t>% GROWTH
2022-23</t>
  </si>
  <si>
    <t>% GROWTH
2023-24</t>
  </si>
  <si>
    <t>% GROWTH
2024-25</t>
  </si>
  <si>
    <t>The graph above shows that there is only one product Ceresil which shows positive growth in 2024-25 of 7%.</t>
  </si>
  <si>
    <t>While the remaining two products does not show any growth over the three years 2022,23 and 24.</t>
  </si>
  <si>
    <t>The graph above shows an upward growth only in Tappet (58%) and Ferozn (7%) in 2024-25.</t>
  </si>
  <si>
    <t>Bio-Troph (GRN) (606%) and Nutri-Nest 46 (505%) are two products which shows high growth % in 2024-25.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</si>
</sst>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8"/>
      <color theme="0"/>
      <name val="Calibri"/>
      <family val="2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7" fillId="0" borderId="2" xfId="0" applyFont="1" applyBorder="1"/>
    <xf numFmtId="0" fontId="0" fillId="0" borderId="2" xfId="0" applyBorder="1"/>
    <xf numFmtId="0" fontId="8" fillId="0" borderId="2" xfId="0" applyFont="1" applyBorder="1"/>
    <xf numFmtId="0" fontId="9" fillId="0" borderId="2" xfId="0" applyFont="1" applyBorder="1"/>
    <xf numFmtId="0" fontId="0" fillId="0" borderId="2" xfId="0" applyBorder="1" applyAlignment="1">
      <alignment vertical="center"/>
    </xf>
    <xf numFmtId="1" fontId="8" fillId="0" borderId="2" xfId="0" applyNumberFormat="1" applyFont="1" applyBorder="1" applyAlignment="1">
      <alignment horizontal="center"/>
    </xf>
    <xf numFmtId="9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3" borderId="2" xfId="0" applyFont="1" applyFill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3" borderId="2" xfId="0" applyFill="1" applyBorder="1"/>
    <xf numFmtId="1" fontId="0" fillId="0" borderId="2" xfId="0" applyNumberForma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/>
    <xf numFmtId="164" fontId="0" fillId="0" borderId="2" xfId="0" applyNumberFormat="1" applyBorder="1"/>
    <xf numFmtId="0" fontId="0" fillId="0" borderId="0" xfId="0" applyAlignment="1">
      <alignment horizontal="left" indent="1"/>
    </xf>
    <xf numFmtId="0" fontId="3" fillId="0" borderId="0" xfId="0" applyFont="1"/>
    <xf numFmtId="164" fontId="3" fillId="5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/>
    <xf numFmtId="165" fontId="3" fillId="0" borderId="7" xfId="0" applyNumberFormat="1" applyFont="1" applyBorder="1" applyAlignment="1">
      <alignment wrapText="1"/>
    </xf>
    <xf numFmtId="165" fontId="3" fillId="0" borderId="8" xfId="0" applyNumberFormat="1" applyFont="1" applyBorder="1" applyAlignment="1">
      <alignment wrapText="1"/>
    </xf>
    <xf numFmtId="165" fontId="0" fillId="0" borderId="2" xfId="0" applyNumberFormat="1" applyBorder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4" xfId="0" applyFont="1" applyBorder="1"/>
    <xf numFmtId="0" fontId="0" fillId="0" borderId="4" xfId="0" applyBorder="1"/>
    <xf numFmtId="0" fontId="8" fillId="0" borderId="4" xfId="0" applyFont="1" applyBorder="1"/>
    <xf numFmtId="0" fontId="0" fillId="0" borderId="4" xfId="0" applyBorder="1" applyAlignment="1">
      <alignment vertical="center"/>
    </xf>
    <xf numFmtId="0" fontId="9" fillId="0" borderId="4" xfId="0" applyFont="1" applyBorder="1"/>
    <xf numFmtId="1" fontId="8" fillId="0" borderId="4" xfId="0" applyNumberFormat="1" applyFont="1" applyBorder="1" applyAlignment="1">
      <alignment horizontal="center"/>
    </xf>
    <xf numFmtId="9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" fontId="0" fillId="0" borderId="4" xfId="0" applyNumberFormat="1" applyBorder="1"/>
    <xf numFmtId="164" fontId="0" fillId="0" borderId="4" xfId="0" applyNumberFormat="1" applyBorder="1"/>
    <xf numFmtId="0" fontId="0" fillId="5" borderId="2" xfId="0" applyFill="1" applyBorder="1"/>
    <xf numFmtId="1" fontId="3" fillId="5" borderId="2" xfId="0" applyNumberFormat="1" applyFont="1" applyFill="1" applyBorder="1"/>
    <xf numFmtId="0" fontId="3" fillId="5" borderId="2" xfId="0" applyFont="1" applyFill="1" applyBorder="1"/>
    <xf numFmtId="1" fontId="3" fillId="5" borderId="2" xfId="0" applyNumberFormat="1" applyFont="1" applyFill="1" applyBorder="1" applyAlignment="1">
      <alignment horizontal="center"/>
    </xf>
    <xf numFmtId="164" fontId="3" fillId="5" borderId="2" xfId="0" applyNumberFormat="1" applyFont="1" applyFill="1" applyBorder="1" applyAlignment="1">
      <alignment horizontal="center"/>
    </xf>
    <xf numFmtId="164" fontId="3" fillId="5" borderId="2" xfId="0" applyNumberFormat="1" applyFont="1" applyFill="1" applyBorder="1"/>
    <xf numFmtId="164" fontId="3" fillId="0" borderId="7" xfId="0" applyNumberFormat="1" applyFont="1" applyBorder="1" applyAlignment="1">
      <alignment wrapText="1"/>
    </xf>
    <xf numFmtId="164" fontId="3" fillId="0" borderId="8" xfId="0" applyNumberFormat="1" applyFont="1" applyBorder="1" applyAlignment="1">
      <alignment wrapText="1"/>
    </xf>
    <xf numFmtId="0" fontId="3" fillId="4" borderId="2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/>
    <xf numFmtId="164" fontId="3" fillId="4" borderId="2" xfId="0" applyNumberFormat="1" applyFont="1" applyFill="1" applyBorder="1"/>
    <xf numFmtId="165" fontId="3" fillId="4" borderId="2" xfId="0" applyNumberFormat="1" applyFont="1" applyFill="1" applyBorder="1"/>
    <xf numFmtId="165" fontId="3" fillId="5" borderId="2" xfId="0" applyNumberFormat="1" applyFont="1" applyFill="1" applyBorder="1" applyAlignment="1">
      <alignment wrapText="1"/>
    </xf>
    <xf numFmtId="164" fontId="0" fillId="0" borderId="2" xfId="0" applyNumberFormat="1" applyBorder="1" applyAlignment="1">
      <alignment wrapText="1"/>
    </xf>
    <xf numFmtId="164" fontId="3" fillId="5" borderId="2" xfId="0" applyNumberFormat="1" applyFont="1" applyFill="1" applyBorder="1" applyAlignment="1">
      <alignment wrapText="1"/>
    </xf>
    <xf numFmtId="164" fontId="3" fillId="5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9" xfId="0" applyNumberFormat="1" applyBorder="1"/>
    <xf numFmtId="164" fontId="3" fillId="5" borderId="1" xfId="0" applyNumberFormat="1" applyFont="1" applyFill="1" applyBorder="1"/>
    <xf numFmtId="9" fontId="0" fillId="0" borderId="2" xfId="1" applyFont="1" applyBorder="1"/>
    <xf numFmtId="9" fontId="3" fillId="5" borderId="2" xfId="1" applyFont="1" applyFill="1" applyBorder="1"/>
    <xf numFmtId="9" fontId="0" fillId="0" borderId="2" xfId="1" applyFont="1" applyBorder="1" applyAlignment="1">
      <alignment horizontal="center"/>
    </xf>
    <xf numFmtId="9" fontId="3" fillId="5" borderId="2" xfId="1" applyFont="1" applyFill="1" applyBorder="1" applyAlignment="1">
      <alignment horizontal="center"/>
    </xf>
    <xf numFmtId="164" fontId="3" fillId="0" borderId="0" xfId="0" applyNumberFormat="1" applyFont="1"/>
    <xf numFmtId="0" fontId="3" fillId="5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'PRODUCTS LAUNCHED IN 2021'!$B$3</c:f>
              <c:strCache>
                <c:ptCount val="1"/>
                <c:pt idx="0">
                  <c:v>CABOZN (L)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2.5924670000191583E-2"/>
                  <c:y val="3.012722368037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42A-471B-805C-CB469714F5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'PRODUCTS LAUNCHED IN 2021'!$AB$3:$AD$3</c:f>
              <c:numCache>
                <c:formatCode>0%</c:formatCode>
                <c:ptCount val="3"/>
                <c:pt idx="0">
                  <c:v>-0.2628355474934132</c:v>
                </c:pt>
                <c:pt idx="1">
                  <c:v>-0.30344000010148936</c:v>
                </c:pt>
                <c:pt idx="2">
                  <c:v>-6.6205880134489734E-2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2A-471B-805C-CB469714F57E}"/>
            </c:ext>
          </c:extLst>
        </c:ser>
        <c:ser>
          <c:idx val="1"/>
          <c:order val="1"/>
          <c:tx>
            <c:strRef>
              <c:f>'PRODUCTS LAUNCHED IN 2021'!$B$4</c:f>
              <c:strCache>
                <c:ptCount val="1"/>
                <c:pt idx="0">
                  <c:v>CERESIL (L)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4.295630017050793E-2"/>
                  <c:y val="5.79050014581510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42A-471B-805C-CB469714F5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'PRODUCTS LAUNCHED IN 2021'!$AB$4:$AD$4</c:f>
              <c:numCache>
                <c:formatCode>0%</c:formatCode>
                <c:ptCount val="3"/>
                <c:pt idx="0">
                  <c:v>-0.45145324511960289</c:v>
                </c:pt>
                <c:pt idx="1">
                  <c:v>-0.41748677796470302</c:v>
                </c:pt>
                <c:pt idx="2">
                  <c:v>6.9896565969675944E-2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2A-471B-805C-CB469714F57E}"/>
            </c:ext>
          </c:extLst>
        </c:ser>
        <c:ser>
          <c:idx val="2"/>
          <c:order val="2"/>
          <c:tx>
            <c:strRef>
              <c:f>'PRODUCTS LAUNCHED IN 2021'!$B$5</c:f>
              <c:strCache>
                <c:ptCount val="1"/>
                <c:pt idx="0">
                  <c:v>MIGHTY (L)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8.9185010632795034E-2"/>
                  <c:y val="-9.95024059492564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2A-471B-805C-CB469714F5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'PRODUCTS LAUNCHED IN 2021'!$AB$5:$AD$5</c:f>
              <c:numCache>
                <c:formatCode>0%</c:formatCode>
                <c:ptCount val="3"/>
                <c:pt idx="0">
                  <c:v>-0.72022938067485198</c:v>
                </c:pt>
                <c:pt idx="1">
                  <c:v>-0.24309623031044517</c:v>
                </c:pt>
                <c:pt idx="2">
                  <c:v>-0.5328148270684665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2A-471B-805C-CB469714F57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6038095"/>
        <c:axId val="76055855"/>
      </c:lineChart>
      <c:catAx>
        <c:axId val="76038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6055855"/>
        <c:crosses val="autoZero"/>
        <c:auto val="1"/>
        <c:lblAlgn val="ctr"/>
        <c:lblOffset val="100"/>
        <c:noMultiLvlLbl val="0"/>
      </c:catAx>
      <c:valAx>
        <c:axId val="760558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7603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'PRODUCTS LAUNCHED IN 2022'!$B$3</c:f>
              <c:strCache>
                <c:ptCount val="1"/>
                <c:pt idx="0">
                  <c:v>ALKREACH (Kg)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3.6111111111111108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529-467B-B11B-3CD3513107A8}"/>
                </c:ext>
              </c:extLst>
            </c:dLbl>
            <c:dLbl>
              <c:idx val="1"/>
              <c:layout>
                <c:manualLayout>
                  <c:x val="1.944444444444444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529-467B-B11B-3CD3513107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'PRODUCTS LAUNCHED IN 2022'!$Z$1:$AA$1</c:f>
              <c:strCache>
                <c:ptCount val="2"/>
                <c:pt idx="0">
                  <c:v>% GROWTH
2023-24</c:v>
                </c:pt>
                <c:pt idx="1">
                  <c:v>% GROWTH
2024-25</c:v>
                </c:pt>
              </c:strCache>
            </c:strRef>
          </c:cat>
          <c:val>
            <c:numRef>
              <c:f>'PRODUCTS LAUNCHED IN 2022'!$Z$3:$AA$3</c:f>
              <c:numCache>
                <c:formatCode>0%</c:formatCode>
                <c:ptCount val="2"/>
                <c:pt idx="0">
                  <c:v>-0.84340542410344155</c:v>
                </c:pt>
                <c:pt idx="1">
                  <c:v>-0.84858501844050804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529-467B-B11B-3CD3513107A8}"/>
            </c:ext>
          </c:extLst>
        </c:ser>
        <c:ser>
          <c:idx val="2"/>
          <c:order val="2"/>
          <c:tx>
            <c:strRef>
              <c:f>'PRODUCTS LAUNCHED IN 2022'!$B$4</c:f>
              <c:strCache>
                <c:ptCount val="1"/>
                <c:pt idx="0">
                  <c:v>COTREACH (Kg)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8333333333333334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529-467B-B11B-3CD3513107A8}"/>
                </c:ext>
              </c:extLst>
            </c:dLbl>
            <c:dLbl>
              <c:idx val="1"/>
              <c:layout>
                <c:manualLayout>
                  <c:x val="-2.5000000000000001E-2"/>
                  <c:y val="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529-467B-B11B-3CD3513107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'PRODUCTS LAUNCHED IN 2022'!$Z$1:$AA$1</c:f>
              <c:strCache>
                <c:ptCount val="2"/>
                <c:pt idx="0">
                  <c:v>% GROWTH
2023-24</c:v>
                </c:pt>
                <c:pt idx="1">
                  <c:v>% GROWTH
2024-25</c:v>
                </c:pt>
              </c:strCache>
            </c:strRef>
          </c:cat>
          <c:val>
            <c:numRef>
              <c:f>'PRODUCTS LAUNCHED IN 2022'!$Z$4:$AA$4</c:f>
              <c:numCache>
                <c:formatCode>0%</c:formatCode>
                <c:ptCount val="2"/>
                <c:pt idx="0">
                  <c:v>-0.27457392775040701</c:v>
                </c:pt>
                <c:pt idx="1">
                  <c:v>-0.42235515857269351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529-467B-B11B-3CD3513107A8}"/>
            </c:ext>
          </c:extLst>
        </c:ser>
        <c:ser>
          <c:idx val="3"/>
          <c:order val="3"/>
          <c:tx>
            <c:strRef>
              <c:f>'PRODUCTS LAUNCHED IN 2022'!$B$5</c:f>
              <c:strCache>
                <c:ptCount val="1"/>
                <c:pt idx="0">
                  <c:v>FEROZN (Kg)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'PRODUCTS LAUNCHED IN 2022'!$Z$1:$AA$1</c:f>
              <c:strCache>
                <c:ptCount val="2"/>
                <c:pt idx="0">
                  <c:v>% GROWTH
2023-24</c:v>
                </c:pt>
                <c:pt idx="1">
                  <c:v>% GROWTH
2024-25</c:v>
                </c:pt>
              </c:strCache>
            </c:strRef>
          </c:cat>
          <c:val>
            <c:numRef>
              <c:f>'PRODUCTS LAUNCHED IN 2022'!$Z$5:$AA$5</c:f>
              <c:numCache>
                <c:formatCode>0%</c:formatCode>
                <c:ptCount val="2"/>
                <c:pt idx="0">
                  <c:v>-0.64081661667438428</c:v>
                </c:pt>
                <c:pt idx="1">
                  <c:v>6.7624469686959579E-2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529-467B-B11B-3CD3513107A8}"/>
            </c:ext>
          </c:extLst>
        </c:ser>
        <c:ser>
          <c:idx val="4"/>
          <c:order val="4"/>
          <c:tx>
            <c:strRef>
              <c:f>'PRODUCTS LAUNCHED IN 2022'!$B$6</c:f>
              <c:strCache>
                <c:ptCount val="1"/>
                <c:pt idx="0">
                  <c:v>TAPPET (Kg)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'PRODUCTS LAUNCHED IN 2022'!$Z$1:$AA$1</c:f>
              <c:strCache>
                <c:ptCount val="2"/>
                <c:pt idx="0">
                  <c:v>% GROWTH
2023-24</c:v>
                </c:pt>
                <c:pt idx="1">
                  <c:v>% GROWTH
2024-25</c:v>
                </c:pt>
              </c:strCache>
            </c:strRef>
          </c:cat>
          <c:val>
            <c:numRef>
              <c:f>'PRODUCTS LAUNCHED IN 2022'!$Z$6:$AA$6</c:f>
              <c:numCache>
                <c:formatCode>0%</c:formatCode>
                <c:ptCount val="2"/>
                <c:pt idx="0">
                  <c:v>-0.45011667531699401</c:v>
                </c:pt>
                <c:pt idx="1">
                  <c:v>0.58303241225381264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529-467B-B11B-3CD3513107A8}"/>
            </c:ext>
          </c:extLst>
        </c:ser>
        <c:ser>
          <c:idx val="5"/>
          <c:order val="5"/>
          <c:tx>
            <c:strRef>
              <c:f>'PRODUCTS LAUNCHED IN 2022'!$B$7</c:f>
              <c:strCache>
                <c:ptCount val="1"/>
                <c:pt idx="0">
                  <c:v>ZIST (Kg)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1111111111111112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529-467B-B11B-3CD3513107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'PRODUCTS LAUNCHED IN 2022'!$Z$1:$AA$1</c:f>
              <c:strCache>
                <c:ptCount val="2"/>
                <c:pt idx="0">
                  <c:v>% GROWTH
2023-24</c:v>
                </c:pt>
                <c:pt idx="1">
                  <c:v>% GROWTH
2024-25</c:v>
                </c:pt>
              </c:strCache>
            </c:strRef>
          </c:cat>
          <c:val>
            <c:numRef>
              <c:f>'PRODUCTS LAUNCHED IN 2022'!$Z$7:$AA$7</c:f>
              <c:numCache>
                <c:formatCode>0%</c:formatCode>
                <c:ptCount val="2"/>
                <c:pt idx="0">
                  <c:v>9.5882621149022143E-2</c:v>
                </c:pt>
                <c:pt idx="1">
                  <c:v>-0.36245174147555759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529-467B-B11B-3CD3513107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03778303"/>
        <c:axId val="11037711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'PRODUCTS LAUNCHED IN 2022'!$B$2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'PRODUCTS LAUNCHED IN 2022'!$Z$1:$AA$1</c15:sqref>
                        </c15:formulaRef>
                      </c:ext>
                    </c:extLst>
                    <c:strCache>
                      <c:ptCount val="2"/>
                      <c:pt idx="0">
                        <c:v>% GROWTH
2023-24</c:v>
                      </c:pt>
                      <c:pt idx="1">
                        <c:v>% GROWTH
2024-25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'PRODUCTS LAUNCHED IN 2022'!$Z$2:$AA$2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529-467B-B11B-3CD3513107A8}"/>
                  </c:ext>
                </c:extLst>
              </c15:ser>
            </c15:filteredLineSeries>
          </c:ext>
        </c:extLst>
      </c:lineChart>
      <c:catAx>
        <c:axId val="11037783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03771103"/>
        <c:crosses val="autoZero"/>
        <c:auto val="1"/>
        <c:lblAlgn val="ctr"/>
        <c:lblOffset val="100"/>
        <c:noMultiLvlLbl val="0"/>
      </c:catAx>
      <c:valAx>
        <c:axId val="11037711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10377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% GROWTH 24-25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4548829923762414E-3"/>
                  <c:y val="4.34805111316319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1C-479B-BC0F-827BE9A02331}"/>
                </c:ext>
              </c:extLst>
            </c:dLbl>
            <c:dLbl>
              <c:idx val="1"/>
              <c:layout>
                <c:manualLayout>
                  <c:x val="-5.4285809444622218E-2"/>
                  <c:y val="-0.1173383435149078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91C-479B-BC0F-827BE9A02331}"/>
                </c:ext>
              </c:extLst>
            </c:dLbl>
            <c:dLbl>
              <c:idx val="2"/>
              <c:layout>
                <c:manualLayout>
                  <c:x val="-2.9069495325989372E-2"/>
                  <c:y val="-8.2867590994649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91C-479B-BC0F-827BE9A02331}"/>
                </c:ext>
              </c:extLst>
            </c:dLbl>
            <c:dLbl>
              <c:idx val="3"/>
              <c:layout>
                <c:manualLayout>
                  <c:x val="-1.1303692060472307E-2"/>
                  <c:y val="0.17781827424726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1C-479B-BC0F-827BE9A02331}"/>
                </c:ext>
              </c:extLst>
            </c:dLbl>
            <c:dLbl>
              <c:idx val="4"/>
              <c:layout>
                <c:manualLayout>
                  <c:x val="1.7762944666456469E-2"/>
                  <c:y val="-0.1504616166707595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1C-479B-BC0F-827BE9A02331}"/>
                </c:ext>
              </c:extLst>
            </c:dLbl>
            <c:dLbl>
              <c:idx val="5"/>
              <c:layout>
                <c:manualLayout>
                  <c:x val="-6.3354034168629419E-2"/>
                  <c:y val="-9.749448823070409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91C-479B-BC0F-827BE9A02331}"/>
                </c:ext>
              </c:extLst>
            </c:dLbl>
            <c:dLbl>
              <c:idx val="6"/>
              <c:layout>
                <c:manualLayout>
                  <c:x val="-4.6829581393385451E-2"/>
                  <c:y val="0.1538814681262628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1C-479B-BC0F-827BE9A02331}"/>
                </c:ext>
              </c:extLst>
            </c:dLbl>
            <c:dLbl>
              <c:idx val="7"/>
              <c:layout>
                <c:manualLayout>
                  <c:x val="2.1146866476897323E-3"/>
                  <c:y val="2.904033181309404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1C-479B-BC0F-827BE9A02331}"/>
                </c:ext>
              </c:extLst>
            </c:dLbl>
            <c:dLbl>
              <c:idx val="8"/>
              <c:layout>
                <c:manualLayout>
                  <c:x val="-7.2670803899310285E-2"/>
                  <c:y val="-6.289966982626073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91C-479B-BC0F-827BE9A02331}"/>
                </c:ext>
              </c:extLst>
            </c:dLbl>
            <c:dLbl>
              <c:idx val="9"/>
              <c:layout>
                <c:manualLayout>
                  <c:x val="-5.5900618384084784E-2"/>
                  <c:y val="8.491455426545195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91C-479B-BC0F-827BE9A02331}"/>
                </c:ext>
              </c:extLst>
            </c:dLbl>
            <c:dLbl>
              <c:idx val="10"/>
              <c:layout>
                <c:manualLayout>
                  <c:x val="-7.8260865737718704E-2"/>
                  <c:y val="-6.28996698262607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91C-479B-BC0F-827BE9A02331}"/>
                </c:ext>
              </c:extLst>
            </c:dLbl>
            <c:dLbl>
              <c:idx val="11"/>
              <c:layout>
                <c:manualLayout>
                  <c:x val="-8.6333589947983083E-2"/>
                  <c:y val="-0.1470420934991210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91C-479B-BC0F-827BE9A02331}"/>
                </c:ext>
              </c:extLst>
            </c:dLbl>
            <c:dLbl>
              <c:idx val="12"/>
              <c:layout>
                <c:manualLayout>
                  <c:x val="0"/>
                  <c:y val="-0.3707863721674409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91C-479B-BC0F-827BE9A02331}"/>
                </c:ext>
              </c:extLst>
            </c:dLbl>
            <c:spPr>
              <a:solidFill>
                <a:sysClr val="windowText" lastClr="000000">
                  <a:lumMod val="15000"/>
                  <a:lumOff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'PRODUCTS LAUNCHED IN 2023'!$B$3:$B$15</c:f>
              <c:strCache>
                <c:ptCount val="13"/>
                <c:pt idx="0">
                  <c:v>AGRINA (Kg)</c:v>
                </c:pt>
                <c:pt idx="1">
                  <c:v>AMIBORE-10 (L)</c:v>
                </c:pt>
                <c:pt idx="2">
                  <c:v>BOROCINE (L)</c:v>
                </c:pt>
                <c:pt idx="3">
                  <c:v>CALCINE (L)</c:v>
                </c:pt>
                <c:pt idx="4">
                  <c:v>ZINCACINE (L)</c:v>
                </c:pt>
                <c:pt idx="5">
                  <c:v>NUTRI NEST-33 (Kg)</c:v>
                </c:pt>
                <c:pt idx="6">
                  <c:v>NUTRI NEST-36 (Kg)</c:v>
                </c:pt>
                <c:pt idx="7">
                  <c:v>NUTRI NEST-55 (Kg)</c:v>
                </c:pt>
                <c:pt idx="8">
                  <c:v>BIO-TROPH (GRN) (Kg)</c:v>
                </c:pt>
                <c:pt idx="9">
                  <c:v>BIO-TROPH (POWDER) (Kg)</c:v>
                </c:pt>
                <c:pt idx="10">
                  <c:v>NUTRI NEST-46 (Kg)</c:v>
                </c:pt>
                <c:pt idx="11">
                  <c:v>NUTRI NEST-52 (Kg)</c:v>
                </c:pt>
                <c:pt idx="12">
                  <c:v>NUTRI NEST-57 (Kg)</c:v>
                </c:pt>
              </c:strCache>
            </c:strRef>
          </c:cat>
          <c:val>
            <c:numRef>
              <c:f>'PRODUCTS LAUNCHED IN 2023'!$X$3:$X$15</c:f>
              <c:numCache>
                <c:formatCode>0%</c:formatCode>
                <c:ptCount val="13"/>
                <c:pt idx="0">
                  <c:v>-0.54411455697471678</c:v>
                </c:pt>
                <c:pt idx="1">
                  <c:v>0.22422530110728228</c:v>
                </c:pt>
                <c:pt idx="2">
                  <c:v>-0.356598414405838</c:v>
                </c:pt>
                <c:pt idx="3">
                  <c:v>-0.44775413403572828</c:v>
                </c:pt>
                <c:pt idx="4">
                  <c:v>1.5182075223718615E-2</c:v>
                </c:pt>
                <c:pt idx="5">
                  <c:v>-0.64888085913345184</c:v>
                </c:pt>
                <c:pt idx="6">
                  <c:v>-0.48304850905927299</c:v>
                </c:pt>
                <c:pt idx="7">
                  <c:v>-0.16249547799317521</c:v>
                </c:pt>
                <c:pt idx="8">
                  <c:v>6.0628056674452999</c:v>
                </c:pt>
                <c:pt idx="9">
                  <c:v>1.3622811845146623</c:v>
                </c:pt>
                <c:pt idx="10">
                  <c:v>5.0462739466338506</c:v>
                </c:pt>
                <c:pt idx="11">
                  <c:v>1.7287645352275298</c:v>
                </c:pt>
                <c:pt idx="12">
                  <c:v>1.3461834686740768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C-479B-BC0F-827BE9A02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9986639"/>
        <c:axId val="1629988079"/>
      </c:lineChart>
      <c:catAx>
        <c:axId val="16299866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29988079"/>
        <c:crosses val="autoZero"/>
        <c:auto val="1"/>
        <c:lblAlgn val="ctr"/>
        <c:lblOffset val="100"/>
        <c:noMultiLvlLbl val="0"/>
      </c:catAx>
      <c:valAx>
        <c:axId val="162998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98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419100</xdr:colOff>
      <xdr:row>8</xdr:row>
      <xdr:rowOff>156210</xdr:rowOff>
    </xdr:from>
    <xdr:to>
      <xdr:col>24</xdr:col>
      <xdr:colOff>693420</xdr:colOff>
      <xdr:row>22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DDF482-4516-0FF1-7C45-4669AA518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434340</xdr:colOff>
      <xdr:row>10</xdr:row>
      <xdr:rowOff>34290</xdr:rowOff>
    </xdr:from>
    <xdr:to>
      <xdr:col>23</xdr:col>
      <xdr:colOff>647700</xdr:colOff>
      <xdr:row>25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831A3-BECB-E53B-08F1-362273A3C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262467</xdr:colOff>
      <xdr:row>17</xdr:row>
      <xdr:rowOff>144356</xdr:rowOff>
    </xdr:from>
    <xdr:to>
      <xdr:col>23</xdr:col>
      <xdr:colOff>567267</xdr:colOff>
      <xdr:row>39</xdr:row>
      <xdr:rowOff>84666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2968AE-DB66-C381-FA62-E15344B2B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A2BE1-0993-4707-9542-4531398C0E88}">
  <dimension ref="A1:AQ55"/>
  <sheetViews>
    <sheetView topLeftCell="AB25" workbookViewId="0">
      <selection activeCell="AB23" sqref="A23:XFD23"/>
    </sheetView>
  </sheetViews>
  <sheetFormatPr defaultRowHeight="14.4" x14ac:dyDescent="0.3"/>
  <cols>
    <col min="1" max="1" width="6.6640625" bestFit="1" customWidth="1"/>
    <col min="2" max="2" width="13.21875" bestFit="1" customWidth="1"/>
    <col min="3" max="3" width="18.21875" hidden="1" customWidth="1"/>
    <col min="4" max="4" width="11.21875" hidden="1" customWidth="1"/>
    <col min="5" max="5" width="6.21875" hidden="1" customWidth="1"/>
    <col min="6" max="6" width="10.5546875" hidden="1" customWidth="1"/>
    <col min="7" max="7" width="19.21875" hidden="1" customWidth="1"/>
    <col min="8" max="8" width="15.5546875" hidden="1" customWidth="1"/>
    <col min="9" max="9" width="21.5546875" hidden="1" customWidth="1"/>
    <col min="10" max="10" width="22.109375" hidden="1" customWidth="1"/>
    <col min="11" max="11" width="23.5546875" hidden="1" customWidth="1"/>
    <col min="12" max="12" width="12.6640625" hidden="1" customWidth="1"/>
    <col min="13" max="13" width="8.5546875" hidden="1" customWidth="1"/>
    <col min="14" max="14" width="7.88671875" hidden="1" customWidth="1"/>
    <col min="15" max="15" width="4.6640625" hidden="1" customWidth="1"/>
    <col min="16" max="16" width="20.6640625" hidden="1" customWidth="1"/>
    <col min="17" max="17" width="13.21875" hidden="1" customWidth="1"/>
    <col min="18" max="18" width="10.109375" bestFit="1" customWidth="1"/>
    <col min="19" max="19" width="10.5546875" style="18" bestFit="1" customWidth="1"/>
    <col min="20" max="20" width="10.109375" bestFit="1" customWidth="1"/>
    <col min="21" max="21" width="10.5546875" style="18" bestFit="1" customWidth="1"/>
    <col min="22" max="22" width="10.109375" bestFit="1" customWidth="1"/>
    <col min="23" max="23" width="10.5546875" style="18" bestFit="1" customWidth="1"/>
    <col min="24" max="24" width="10.109375" bestFit="1" customWidth="1"/>
    <col min="25" max="25" width="10.5546875" style="18" bestFit="1" customWidth="1"/>
    <col min="26" max="26" width="10.109375" bestFit="1" customWidth="1"/>
    <col min="27" max="27" width="9.5546875" style="18" bestFit="1" customWidth="1"/>
    <col min="28" max="30" width="12.109375" style="18" customWidth="1"/>
    <col min="32" max="32" width="17.5546875" bestFit="1" customWidth="1"/>
    <col min="33" max="33" width="16.21875" bestFit="1" customWidth="1"/>
    <col min="34" max="34" width="11.109375" hidden="1" customWidth="1"/>
    <col min="35" max="35" width="11" style="18" bestFit="1" customWidth="1"/>
    <col min="36" max="36" width="11.109375" hidden="1" customWidth="1"/>
    <col min="37" max="37" width="11" style="18" bestFit="1" customWidth="1"/>
    <col min="38" max="38" width="11.109375" hidden="1" customWidth="1"/>
    <col min="39" max="39" width="11" style="18" bestFit="1" customWidth="1"/>
    <col min="40" max="40" width="11.109375" hidden="1" customWidth="1"/>
    <col min="41" max="41" width="11" style="18" bestFit="1" customWidth="1"/>
    <col min="42" max="42" width="11.109375" hidden="1" customWidth="1"/>
    <col min="43" max="43" width="11" style="18" bestFit="1" customWidth="1"/>
    <col min="44" max="44" width="14.5546875" customWidth="1"/>
  </cols>
  <sheetData>
    <row r="1" spans="1:43" ht="36" customHeight="1" x14ac:dyDescent="0.3">
      <c r="A1" s="70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0" t="s">
        <v>6</v>
      </c>
      <c r="H1" s="71" t="s">
        <v>7</v>
      </c>
      <c r="I1" s="71" t="s">
        <v>8</v>
      </c>
      <c r="J1" s="71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67" t="s">
        <v>73</v>
      </c>
      <c r="S1" s="67"/>
      <c r="T1" s="67" t="s">
        <v>74</v>
      </c>
      <c r="U1" s="67"/>
      <c r="V1" s="67" t="s">
        <v>75</v>
      </c>
      <c r="W1" s="67"/>
      <c r="X1" s="67" t="s">
        <v>76</v>
      </c>
      <c r="Y1" s="67"/>
      <c r="Z1" s="67" t="s">
        <v>77</v>
      </c>
      <c r="AA1" s="72"/>
      <c r="AB1" s="67" t="s">
        <v>174</v>
      </c>
      <c r="AC1" s="67" t="s">
        <v>175</v>
      </c>
      <c r="AD1" s="67" t="s">
        <v>176</v>
      </c>
      <c r="AF1" s="48" t="s">
        <v>92</v>
      </c>
      <c r="AG1" s="48" t="s">
        <v>93</v>
      </c>
      <c r="AH1" s="48" t="s">
        <v>86</v>
      </c>
      <c r="AI1" s="49" t="s">
        <v>87</v>
      </c>
      <c r="AJ1" s="48" t="s">
        <v>88</v>
      </c>
      <c r="AK1" s="49" t="s">
        <v>89</v>
      </c>
      <c r="AL1" s="48" t="s">
        <v>90</v>
      </c>
      <c r="AM1" s="49" t="s">
        <v>91</v>
      </c>
      <c r="AN1" s="48" t="s">
        <v>138</v>
      </c>
      <c r="AO1" s="49" t="s">
        <v>139</v>
      </c>
      <c r="AP1" s="15" t="s">
        <v>154</v>
      </c>
      <c r="AQ1" s="50" t="s">
        <v>155</v>
      </c>
    </row>
    <row r="2" spans="1:43" x14ac:dyDescent="0.3">
      <c r="A2" s="70"/>
      <c r="B2" s="71"/>
      <c r="C2" s="71"/>
      <c r="D2" s="71"/>
      <c r="E2" s="71"/>
      <c r="F2" s="71"/>
      <c r="G2" s="70"/>
      <c r="H2" s="71"/>
      <c r="I2" s="71"/>
      <c r="J2" s="71"/>
      <c r="K2" s="71"/>
      <c r="L2" s="71"/>
      <c r="M2" s="71"/>
      <c r="N2" s="71"/>
      <c r="O2" s="71"/>
      <c r="P2" s="71"/>
      <c r="Q2" s="73"/>
      <c r="R2" s="17" t="s">
        <v>78</v>
      </c>
      <c r="S2" s="23" t="s">
        <v>79</v>
      </c>
      <c r="T2" s="17" t="s">
        <v>78</v>
      </c>
      <c r="U2" s="23" t="s">
        <v>79</v>
      </c>
      <c r="V2" s="17" t="s">
        <v>78</v>
      </c>
      <c r="W2" s="23" t="s">
        <v>79</v>
      </c>
      <c r="X2" s="17" t="s">
        <v>78</v>
      </c>
      <c r="Y2" s="23" t="s">
        <v>79</v>
      </c>
      <c r="Z2" s="17" t="s">
        <v>78</v>
      </c>
      <c r="AA2" s="57" t="s">
        <v>79</v>
      </c>
      <c r="AB2" s="67"/>
      <c r="AC2" s="67"/>
      <c r="AD2" s="67"/>
      <c r="AF2" s="68" t="s">
        <v>80</v>
      </c>
      <c r="AG2" s="2" t="s">
        <v>140</v>
      </c>
      <c r="AH2" s="2">
        <v>125</v>
      </c>
      <c r="AI2" s="20">
        <v>55195.42</v>
      </c>
      <c r="AJ2" s="2">
        <v>70</v>
      </c>
      <c r="AK2" s="20">
        <v>31825.599999999999</v>
      </c>
      <c r="AL2" s="2">
        <v>50</v>
      </c>
      <c r="AM2" s="20">
        <v>22895.43</v>
      </c>
      <c r="AN2" s="2">
        <v>0</v>
      </c>
      <c r="AO2" s="20">
        <v>0</v>
      </c>
      <c r="AP2" s="2">
        <v>20</v>
      </c>
      <c r="AQ2" s="20">
        <v>9975.2000000000007</v>
      </c>
    </row>
    <row r="3" spans="1:43" x14ac:dyDescent="0.3">
      <c r="A3" s="11">
        <v>1</v>
      </c>
      <c r="B3" s="1" t="s">
        <v>17</v>
      </c>
      <c r="C3" s="2">
        <v>2021</v>
      </c>
      <c r="D3" s="1" t="s">
        <v>18</v>
      </c>
      <c r="E3" s="1" t="s">
        <v>19</v>
      </c>
      <c r="F3" s="3" t="s">
        <v>20</v>
      </c>
      <c r="G3" s="2" t="s">
        <v>21</v>
      </c>
      <c r="H3" s="4" t="s">
        <v>22</v>
      </c>
      <c r="I3" s="4" t="s">
        <v>23</v>
      </c>
      <c r="J3" s="3"/>
      <c r="K3" s="5" t="s">
        <v>24</v>
      </c>
      <c r="L3" s="2"/>
      <c r="M3" s="6">
        <v>470</v>
      </c>
      <c r="N3" s="6">
        <v>503.33333333333331</v>
      </c>
      <c r="O3" s="7">
        <v>0.12</v>
      </c>
      <c r="P3" s="8" t="s">
        <v>25</v>
      </c>
      <c r="Q3" s="9">
        <v>5</v>
      </c>
      <c r="R3" s="19">
        <v>10665.75</v>
      </c>
      <c r="S3" s="20">
        <v>4790554.7100000037</v>
      </c>
      <c r="T3" s="19">
        <v>7560</v>
      </c>
      <c r="U3" s="20">
        <v>3531426.6400000034</v>
      </c>
      <c r="V3" s="19">
        <v>5285.25</v>
      </c>
      <c r="W3" s="20">
        <v>2459850.54</v>
      </c>
      <c r="X3" s="25">
        <v>4943.5</v>
      </c>
      <c r="Y3" s="46">
        <v>2296993.9700000002</v>
      </c>
      <c r="Z3" s="2">
        <v>678</v>
      </c>
      <c r="AA3" s="58">
        <v>341191.88</v>
      </c>
      <c r="AB3" s="61">
        <f>(U3-S3)/ABS(S3)</f>
        <v>-0.2628355474934132</v>
      </c>
      <c r="AC3" s="61">
        <f>(W3-U3)/ABS(U3)</f>
        <v>-0.30344000010148936</v>
      </c>
      <c r="AD3" s="61">
        <f>(Y3-W3)/ABS(W3)</f>
        <v>-6.6205880134489734E-2</v>
      </c>
      <c r="AF3" s="68"/>
      <c r="AG3" s="2" t="s">
        <v>141</v>
      </c>
      <c r="AH3" s="2">
        <v>35</v>
      </c>
      <c r="AI3" s="20">
        <v>16149.98</v>
      </c>
      <c r="AJ3" s="2">
        <v>300</v>
      </c>
      <c r="AK3" s="20">
        <v>141838.34000000003</v>
      </c>
      <c r="AL3" s="2">
        <v>110</v>
      </c>
      <c r="AM3" s="20">
        <v>52260.800000000003</v>
      </c>
      <c r="AN3" s="2">
        <v>50</v>
      </c>
      <c r="AO3" s="20">
        <v>23180.400000000001</v>
      </c>
      <c r="AP3" s="2"/>
      <c r="AQ3" s="20"/>
    </row>
    <row r="4" spans="1:43" x14ac:dyDescent="0.3">
      <c r="A4" s="11">
        <v>2</v>
      </c>
      <c r="B4" s="1" t="s">
        <v>26</v>
      </c>
      <c r="C4" s="2">
        <v>2021</v>
      </c>
      <c r="D4" s="1" t="s">
        <v>18</v>
      </c>
      <c r="E4" s="1" t="s">
        <v>19</v>
      </c>
      <c r="F4" s="3" t="s">
        <v>20</v>
      </c>
      <c r="G4" s="5"/>
      <c r="H4" s="4" t="s">
        <v>22</v>
      </c>
      <c r="I4" s="4" t="s">
        <v>27</v>
      </c>
      <c r="J4" s="3"/>
      <c r="K4" s="5" t="s">
        <v>24</v>
      </c>
      <c r="L4" s="2"/>
      <c r="M4" s="6">
        <v>280</v>
      </c>
      <c r="N4" s="6">
        <v>349</v>
      </c>
      <c r="O4" s="7">
        <v>0.18</v>
      </c>
      <c r="P4" s="8" t="s">
        <v>28</v>
      </c>
      <c r="Q4" s="9">
        <v>9</v>
      </c>
      <c r="R4" s="19">
        <v>1955.65</v>
      </c>
      <c r="S4" s="20">
        <v>585727.41000000027</v>
      </c>
      <c r="T4" s="19">
        <v>1004.55</v>
      </c>
      <c r="U4" s="20">
        <v>321298.87</v>
      </c>
      <c r="V4" s="19">
        <v>570.54999999999995</v>
      </c>
      <c r="W4" s="20">
        <v>187160.84000000003</v>
      </c>
      <c r="X4" s="25">
        <v>630.75</v>
      </c>
      <c r="Y4" s="46">
        <v>200242.74</v>
      </c>
      <c r="Z4">
        <v>58</v>
      </c>
      <c r="AA4" s="18">
        <v>18620.400000000001</v>
      </c>
      <c r="AB4" s="61">
        <f t="shared" ref="AB4:AB6" si="0">(U4-S4)/ABS(S4)</f>
        <v>-0.45145324511960289</v>
      </c>
      <c r="AC4" s="61">
        <f t="shared" ref="AC4:AC6" si="1">(W4-U4)/ABS(U4)</f>
        <v>-0.41748677796470302</v>
      </c>
      <c r="AD4" s="61">
        <f t="shared" ref="AD4:AD6" si="2">(Y4-W4)/ABS(W4)</f>
        <v>6.9896565969675944E-2</v>
      </c>
      <c r="AF4" s="68"/>
      <c r="AG4" s="2" t="s">
        <v>142</v>
      </c>
      <c r="AH4" s="2">
        <v>0</v>
      </c>
      <c r="AI4" s="20">
        <v>0</v>
      </c>
      <c r="AJ4" s="2">
        <v>315</v>
      </c>
      <c r="AK4" s="20">
        <v>148107.5</v>
      </c>
      <c r="AL4" s="2">
        <v>130</v>
      </c>
      <c r="AM4" s="20">
        <v>65550</v>
      </c>
      <c r="AN4" s="2">
        <v>120</v>
      </c>
      <c r="AO4" s="20">
        <v>61559.799999999996</v>
      </c>
      <c r="AP4" s="2"/>
      <c r="AQ4" s="20"/>
    </row>
    <row r="5" spans="1:43" x14ac:dyDescent="0.3">
      <c r="A5" s="29">
        <v>3</v>
      </c>
      <c r="B5" s="30" t="s">
        <v>29</v>
      </c>
      <c r="C5" s="31">
        <v>2021</v>
      </c>
      <c r="D5" s="30" t="s">
        <v>30</v>
      </c>
      <c r="E5" s="30" t="s">
        <v>19</v>
      </c>
      <c r="F5" s="32" t="s">
        <v>20</v>
      </c>
      <c r="G5" s="33"/>
      <c r="H5" s="34" t="s">
        <v>31</v>
      </c>
      <c r="I5" s="34" t="s">
        <v>32</v>
      </c>
      <c r="J5" s="32"/>
      <c r="K5" s="33"/>
      <c r="L5" s="31"/>
      <c r="M5" s="35">
        <v>1180</v>
      </c>
      <c r="N5" s="35">
        <v>1240</v>
      </c>
      <c r="O5" s="36">
        <v>0.05</v>
      </c>
      <c r="P5" s="37" t="s">
        <v>33</v>
      </c>
      <c r="Q5" s="32">
        <v>33</v>
      </c>
      <c r="R5" s="38">
        <v>1573.8</v>
      </c>
      <c r="S5" s="39">
        <v>1869817.5000000002</v>
      </c>
      <c r="T5" s="38">
        <v>440.1</v>
      </c>
      <c r="U5" s="39">
        <v>523119.99999999994</v>
      </c>
      <c r="V5" s="38">
        <v>334.8</v>
      </c>
      <c r="W5" s="39">
        <v>395951.49999999988</v>
      </c>
      <c r="X5" s="26">
        <v>155.65</v>
      </c>
      <c r="Y5" s="47">
        <v>184982.67</v>
      </c>
      <c r="Z5" s="31">
        <v>32</v>
      </c>
      <c r="AA5" s="59">
        <v>38152.32</v>
      </c>
      <c r="AB5" s="61">
        <f t="shared" si="0"/>
        <v>-0.72022938067485198</v>
      </c>
      <c r="AC5" s="61">
        <f t="shared" si="1"/>
        <v>-0.24309623031044517</v>
      </c>
      <c r="AD5" s="61">
        <f t="shared" si="2"/>
        <v>-0.5328148270684665</v>
      </c>
      <c r="AF5" s="68"/>
      <c r="AG5" s="2" t="s">
        <v>143</v>
      </c>
      <c r="AH5" s="2">
        <v>125</v>
      </c>
      <c r="AI5" s="20">
        <v>57950.28</v>
      </c>
      <c r="AJ5" s="2">
        <v>145</v>
      </c>
      <c r="AK5" s="20">
        <v>70585.56</v>
      </c>
      <c r="AL5" s="2">
        <v>15</v>
      </c>
      <c r="AM5" s="20">
        <v>7315</v>
      </c>
      <c r="AN5" s="2">
        <v>155</v>
      </c>
      <c r="AO5" s="20">
        <v>74954.89</v>
      </c>
      <c r="AP5" s="2"/>
      <c r="AQ5" s="20"/>
    </row>
    <row r="6" spans="1:43" x14ac:dyDescent="0.3">
      <c r="A6" s="66" t="s">
        <v>164</v>
      </c>
      <c r="B6" s="66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1">
        <f>SUM(R3:R5)</f>
        <v>14195.199999999999</v>
      </c>
      <c r="S6" s="45">
        <f t="shared" ref="S6:AA6" si="3">SUM(S3:S5)</f>
        <v>7246099.6200000038</v>
      </c>
      <c r="T6" s="41">
        <f t="shared" si="3"/>
        <v>9004.65</v>
      </c>
      <c r="U6" s="45">
        <f t="shared" si="3"/>
        <v>4375845.5100000035</v>
      </c>
      <c r="V6" s="41">
        <f t="shared" si="3"/>
        <v>6190.6</v>
      </c>
      <c r="W6" s="45">
        <f t="shared" si="3"/>
        <v>3042962.88</v>
      </c>
      <c r="X6" s="41">
        <f t="shared" si="3"/>
        <v>5729.9</v>
      </c>
      <c r="Y6" s="45">
        <f t="shared" si="3"/>
        <v>2682219.38</v>
      </c>
      <c r="Z6" s="41">
        <f t="shared" si="3"/>
        <v>768</v>
      </c>
      <c r="AA6" s="60">
        <f t="shared" si="3"/>
        <v>397964.60000000003</v>
      </c>
      <c r="AB6" s="62">
        <f t="shared" si="0"/>
        <v>-0.39611021936239937</v>
      </c>
      <c r="AC6" s="62">
        <f t="shared" si="1"/>
        <v>-0.30460002003132935</v>
      </c>
      <c r="AD6" s="62">
        <f t="shared" si="2"/>
        <v>-0.11855008234605872</v>
      </c>
      <c r="AF6" s="68"/>
      <c r="AG6" s="2" t="s">
        <v>144</v>
      </c>
      <c r="AH6" s="2">
        <v>270</v>
      </c>
      <c r="AI6" s="20">
        <v>122266.27000000002</v>
      </c>
      <c r="AJ6" s="2">
        <v>270</v>
      </c>
      <c r="AK6" s="20">
        <v>126731.19999999998</v>
      </c>
      <c r="AL6" s="2">
        <v>295</v>
      </c>
      <c r="AM6" s="20">
        <v>136802.68</v>
      </c>
      <c r="AN6" s="2">
        <v>1280</v>
      </c>
      <c r="AO6" s="20">
        <v>587964.69000000006</v>
      </c>
      <c r="AP6" s="2">
        <v>188</v>
      </c>
      <c r="AQ6" s="20">
        <v>94999.599999999991</v>
      </c>
    </row>
    <row r="7" spans="1:43" x14ac:dyDescent="0.3">
      <c r="AF7" s="68"/>
      <c r="AG7" s="2" t="s">
        <v>145</v>
      </c>
      <c r="AH7" s="2">
        <v>2383</v>
      </c>
      <c r="AI7" s="20">
        <v>1075183.8699999996</v>
      </c>
      <c r="AJ7" s="2">
        <v>1500.75</v>
      </c>
      <c r="AK7" s="20">
        <v>701381.62999999989</v>
      </c>
      <c r="AL7" s="2">
        <v>1139</v>
      </c>
      <c r="AM7" s="20">
        <v>534437.34000000008</v>
      </c>
      <c r="AN7" s="2">
        <v>930</v>
      </c>
      <c r="AO7" s="20">
        <v>436621.53</v>
      </c>
      <c r="AP7" s="2">
        <v>40</v>
      </c>
      <c r="AQ7" s="20">
        <v>20995.599999999999</v>
      </c>
    </row>
    <row r="8" spans="1:43" x14ac:dyDescent="0.3">
      <c r="S8" s="24"/>
      <c r="AF8" s="68"/>
      <c r="AG8" s="2" t="s">
        <v>81</v>
      </c>
      <c r="AH8" s="2">
        <v>558.5</v>
      </c>
      <c r="AI8" s="20">
        <v>255059.46999999997</v>
      </c>
      <c r="AJ8" s="2">
        <v>335</v>
      </c>
      <c r="AK8" s="20">
        <v>159030.06</v>
      </c>
      <c r="AL8" s="2">
        <v>510</v>
      </c>
      <c r="AM8" s="20">
        <v>238356.81</v>
      </c>
      <c r="AN8" s="2">
        <v>820</v>
      </c>
      <c r="AO8" s="20">
        <v>383705.83000000007</v>
      </c>
      <c r="AP8" s="2">
        <v>15</v>
      </c>
      <c r="AQ8" s="20">
        <v>8266</v>
      </c>
    </row>
    <row r="9" spans="1:43" ht="16.2" customHeight="1" x14ac:dyDescent="0.3">
      <c r="AF9" s="68"/>
      <c r="AG9" s="2" t="s">
        <v>146</v>
      </c>
      <c r="AH9" s="2">
        <v>1866.5</v>
      </c>
      <c r="AI9" s="20">
        <v>839779.96</v>
      </c>
      <c r="AJ9" s="2">
        <v>673.75</v>
      </c>
      <c r="AK9" s="20">
        <v>312538.32000000007</v>
      </c>
      <c r="AL9" s="2">
        <v>495</v>
      </c>
      <c r="AM9" s="20">
        <v>228636.62</v>
      </c>
      <c r="AN9" s="2">
        <v>305.75</v>
      </c>
      <c r="AO9" s="20">
        <v>144031.28</v>
      </c>
      <c r="AP9" s="2">
        <v>145</v>
      </c>
      <c r="AQ9" s="20">
        <v>71723.98</v>
      </c>
    </row>
    <row r="10" spans="1:43" ht="16.2" customHeight="1" x14ac:dyDescent="0.3">
      <c r="AF10" s="68"/>
      <c r="AG10" s="2" t="s">
        <v>147</v>
      </c>
      <c r="AH10" s="2">
        <v>0</v>
      </c>
      <c r="AI10" s="20">
        <v>0</v>
      </c>
      <c r="AJ10" s="2">
        <v>37</v>
      </c>
      <c r="AK10" s="20">
        <v>16520.5</v>
      </c>
      <c r="AL10" s="2">
        <v>19</v>
      </c>
      <c r="AM10" s="20">
        <v>8416.39</v>
      </c>
      <c r="AN10" s="2">
        <v>19</v>
      </c>
      <c r="AO10" s="20">
        <v>8506.9699999999993</v>
      </c>
      <c r="AP10" s="2">
        <v>5</v>
      </c>
      <c r="AQ10" s="20">
        <v>2422.5</v>
      </c>
    </row>
    <row r="11" spans="1:43" ht="16.2" customHeight="1" x14ac:dyDescent="0.3">
      <c r="AF11" s="68"/>
      <c r="AG11" s="2" t="s">
        <v>148</v>
      </c>
      <c r="AH11" s="2">
        <v>325</v>
      </c>
      <c r="AI11" s="20">
        <v>151148.62</v>
      </c>
      <c r="AJ11" s="2">
        <v>290</v>
      </c>
      <c r="AK11" s="20">
        <v>143832.23999999996</v>
      </c>
      <c r="AL11" s="2">
        <v>420</v>
      </c>
      <c r="AM11" s="20">
        <v>204347.87000000002</v>
      </c>
      <c r="AN11" s="2">
        <v>140</v>
      </c>
      <c r="AO11" s="20">
        <v>66215.03</v>
      </c>
      <c r="AP11" s="2"/>
      <c r="AQ11" s="20"/>
    </row>
    <row r="12" spans="1:43" ht="16.2" customHeight="1" x14ac:dyDescent="0.3">
      <c r="AF12" s="68"/>
      <c r="AG12" s="2" t="s">
        <v>149</v>
      </c>
      <c r="AH12" s="2">
        <v>565</v>
      </c>
      <c r="AI12" s="20">
        <v>253554.65999999997</v>
      </c>
      <c r="AJ12" s="2">
        <v>460</v>
      </c>
      <c r="AK12" s="20">
        <v>224392.05999999997</v>
      </c>
      <c r="AL12" s="2">
        <v>0</v>
      </c>
      <c r="AM12" s="20">
        <v>0</v>
      </c>
      <c r="AN12" s="2"/>
      <c r="AO12" s="20"/>
      <c r="AP12" s="2"/>
      <c r="AQ12" s="20"/>
    </row>
    <row r="13" spans="1:43" ht="16.2" customHeight="1" x14ac:dyDescent="0.3">
      <c r="AF13" s="68"/>
      <c r="AG13" s="2" t="s">
        <v>82</v>
      </c>
      <c r="AH13" s="2">
        <v>2454</v>
      </c>
      <c r="AI13" s="20">
        <v>1108771.83</v>
      </c>
      <c r="AJ13" s="2">
        <v>548.5</v>
      </c>
      <c r="AK13" s="20">
        <v>270076.25000000006</v>
      </c>
      <c r="AL13" s="2">
        <v>496.5</v>
      </c>
      <c r="AM13" s="20">
        <v>232998.9</v>
      </c>
      <c r="AN13" s="2">
        <v>150.5</v>
      </c>
      <c r="AO13" s="20">
        <v>69899.09</v>
      </c>
      <c r="AP13" s="2">
        <v>35</v>
      </c>
      <c r="AQ13" s="20">
        <v>17860.259999999998</v>
      </c>
    </row>
    <row r="14" spans="1:43" ht="16.2" customHeight="1" x14ac:dyDescent="0.3">
      <c r="AF14" s="68"/>
      <c r="AG14" s="2" t="s">
        <v>150</v>
      </c>
      <c r="AH14" s="2">
        <v>1955</v>
      </c>
      <c r="AI14" s="20">
        <v>853746.25999999966</v>
      </c>
      <c r="AJ14" s="2">
        <v>2615</v>
      </c>
      <c r="AK14" s="20">
        <v>1184567.3799999999</v>
      </c>
      <c r="AL14" s="2">
        <v>1605</v>
      </c>
      <c r="AM14" s="20">
        <v>727447.94000000006</v>
      </c>
      <c r="AN14" s="2">
        <v>915</v>
      </c>
      <c r="AO14" s="20">
        <v>413226.71000000008</v>
      </c>
      <c r="AP14" s="2">
        <v>190</v>
      </c>
      <c r="AQ14" s="20">
        <v>94049</v>
      </c>
    </row>
    <row r="15" spans="1:43" ht="16.2" customHeight="1" x14ac:dyDescent="0.3">
      <c r="AF15" s="68"/>
      <c r="AG15" s="2" t="s">
        <v>151</v>
      </c>
      <c r="AH15" s="2">
        <v>3.75</v>
      </c>
      <c r="AI15" s="20">
        <v>1748.09</v>
      </c>
      <c r="AJ15" s="2">
        <v>0</v>
      </c>
      <c r="AK15" s="20">
        <v>0</v>
      </c>
      <c r="AL15" s="2">
        <v>0.75</v>
      </c>
      <c r="AM15" s="20">
        <v>384.76</v>
      </c>
      <c r="AN15" s="2">
        <v>3.25</v>
      </c>
      <c r="AO15" s="20">
        <v>1667.15</v>
      </c>
      <c r="AP15" s="2"/>
      <c r="AQ15" s="20"/>
    </row>
    <row r="16" spans="1:43" ht="16.2" customHeight="1" x14ac:dyDescent="0.3">
      <c r="AF16" s="68"/>
      <c r="AG16" s="2" t="s">
        <v>153</v>
      </c>
      <c r="AH16" s="2"/>
      <c r="AI16" s="20"/>
      <c r="AJ16" s="2"/>
      <c r="AK16" s="20"/>
      <c r="AL16" s="2"/>
      <c r="AM16" s="20"/>
      <c r="AN16" s="2">
        <v>30</v>
      </c>
      <c r="AO16" s="20">
        <v>13395.599999999999</v>
      </c>
      <c r="AP16" s="2"/>
      <c r="AQ16" s="20"/>
    </row>
    <row r="17" spans="19:43" ht="16.2" customHeight="1" x14ac:dyDescent="0.3">
      <c r="AF17" s="68"/>
      <c r="AG17" s="2" t="s">
        <v>152</v>
      </c>
      <c r="AH17" s="2"/>
      <c r="AI17" s="20"/>
      <c r="AJ17" s="2"/>
      <c r="AK17" s="20"/>
      <c r="AL17" s="2"/>
      <c r="AM17" s="20"/>
      <c r="AN17" s="2">
        <v>25</v>
      </c>
      <c r="AO17" s="20">
        <v>12065</v>
      </c>
      <c r="AP17" s="2">
        <v>40</v>
      </c>
      <c r="AQ17" s="20">
        <v>20899.739999999998</v>
      </c>
    </row>
    <row r="18" spans="19:43" ht="16.2" customHeight="1" x14ac:dyDescent="0.3">
      <c r="AF18" s="66" t="s">
        <v>171</v>
      </c>
      <c r="AG18" s="66"/>
      <c r="AH18" s="42">
        <f>SUM(AH2:AH17)</f>
        <v>10665.75</v>
      </c>
      <c r="AI18" s="45">
        <f t="shared" ref="AI18:AO18" si="4">SUM(AI2:AI17)</f>
        <v>4790554.709999999</v>
      </c>
      <c r="AJ18" s="42">
        <f t="shared" si="4"/>
        <v>7560</v>
      </c>
      <c r="AK18" s="45">
        <f t="shared" si="4"/>
        <v>3531426.64</v>
      </c>
      <c r="AL18" s="42">
        <f t="shared" si="4"/>
        <v>5285.25</v>
      </c>
      <c r="AM18" s="45">
        <f t="shared" si="4"/>
        <v>2459850.54</v>
      </c>
      <c r="AN18" s="42">
        <f t="shared" si="4"/>
        <v>4943.5</v>
      </c>
      <c r="AO18" s="45">
        <f t="shared" si="4"/>
        <v>2296993.9700000002</v>
      </c>
      <c r="AP18" s="42">
        <f t="shared" ref="AP18" si="5">SUM(AP2:AP17)</f>
        <v>678</v>
      </c>
      <c r="AQ18" s="45">
        <f t="shared" ref="AQ18" si="6">SUM(AQ2:AQ17)</f>
        <v>341191.88</v>
      </c>
    </row>
    <row r="19" spans="19:43" ht="16.2" customHeight="1" x14ac:dyDescent="0.3">
      <c r="AF19" s="68" t="s">
        <v>83</v>
      </c>
      <c r="AG19" s="2" t="s">
        <v>140</v>
      </c>
      <c r="AH19" s="2">
        <v>0</v>
      </c>
      <c r="AI19" s="20">
        <v>0</v>
      </c>
      <c r="AJ19" s="2">
        <v>20</v>
      </c>
      <c r="AK19" s="20">
        <v>7220.4</v>
      </c>
      <c r="AL19" s="2">
        <v>0</v>
      </c>
      <c r="AM19" s="20">
        <v>0</v>
      </c>
      <c r="AN19" s="2">
        <v>0</v>
      </c>
      <c r="AO19" s="20">
        <v>0</v>
      </c>
      <c r="AP19" s="2"/>
      <c r="AQ19" s="20"/>
    </row>
    <row r="20" spans="19:43" ht="16.2" customHeight="1" x14ac:dyDescent="0.3">
      <c r="AF20" s="68"/>
      <c r="AG20" s="2" t="s">
        <v>143</v>
      </c>
      <c r="AH20" s="2">
        <v>94</v>
      </c>
      <c r="AI20" s="20">
        <v>29639.61</v>
      </c>
      <c r="AJ20" s="2">
        <v>0</v>
      </c>
      <c r="AK20" s="20">
        <v>0</v>
      </c>
      <c r="AL20" s="2">
        <v>-64</v>
      </c>
      <c r="AM20" s="20">
        <v>-19380</v>
      </c>
      <c r="AN20" s="2">
        <v>0</v>
      </c>
      <c r="AO20" s="20">
        <v>0</v>
      </c>
      <c r="AP20" s="2"/>
      <c r="AQ20" s="20"/>
    </row>
    <row r="21" spans="19:43" ht="16.2" customHeight="1" x14ac:dyDescent="0.3">
      <c r="AF21" s="68"/>
      <c r="AG21" s="2" t="s">
        <v>144</v>
      </c>
      <c r="AH21" s="2">
        <v>0</v>
      </c>
      <c r="AI21" s="20">
        <v>0</v>
      </c>
      <c r="AJ21" s="2">
        <v>10</v>
      </c>
      <c r="AK21" s="20">
        <v>3609.92</v>
      </c>
      <c r="AL21" s="2">
        <v>69</v>
      </c>
      <c r="AM21" s="20">
        <v>18697.13</v>
      </c>
      <c r="AN21" s="2">
        <v>56</v>
      </c>
      <c r="AO21" s="20">
        <v>14439.8</v>
      </c>
      <c r="AP21" s="2">
        <v>28</v>
      </c>
      <c r="AQ21" s="20">
        <v>7220.4</v>
      </c>
    </row>
    <row r="22" spans="19:43" ht="16.2" customHeight="1" x14ac:dyDescent="0.3">
      <c r="AF22" s="68"/>
      <c r="AG22" s="2" t="s">
        <v>152</v>
      </c>
      <c r="AH22" s="2">
        <v>0</v>
      </c>
      <c r="AI22" s="20">
        <v>0</v>
      </c>
      <c r="AJ22" s="2">
        <v>5</v>
      </c>
      <c r="AK22" s="20">
        <v>1805.1</v>
      </c>
      <c r="AL22" s="2">
        <v>0</v>
      </c>
      <c r="AM22" s="20">
        <v>0</v>
      </c>
      <c r="AN22" s="2">
        <v>28</v>
      </c>
      <c r="AO22" s="20">
        <v>7220.4</v>
      </c>
      <c r="AP22" s="2"/>
      <c r="AQ22" s="20"/>
    </row>
    <row r="23" spans="19:43" ht="16.2" customHeight="1" x14ac:dyDescent="0.3">
      <c r="AF23" s="68"/>
      <c r="AG23" s="2" t="s">
        <v>145</v>
      </c>
      <c r="AH23" s="2">
        <v>146</v>
      </c>
      <c r="AI23" s="20">
        <v>41916.590000000004</v>
      </c>
      <c r="AJ23" s="2">
        <v>150</v>
      </c>
      <c r="AK23" s="20">
        <v>49516.070000000007</v>
      </c>
      <c r="AL23" s="2">
        <v>158</v>
      </c>
      <c r="AM23" s="20">
        <v>54569.93</v>
      </c>
      <c r="AN23" s="2">
        <v>140</v>
      </c>
      <c r="AO23" s="20">
        <v>39520.400000000001</v>
      </c>
      <c r="AP23" s="2">
        <v>10</v>
      </c>
      <c r="AQ23" s="20">
        <v>3800</v>
      </c>
    </row>
    <row r="24" spans="19:43" ht="16.2" customHeight="1" x14ac:dyDescent="0.3">
      <c r="AF24" s="68"/>
      <c r="AG24" s="2" t="s">
        <v>81</v>
      </c>
      <c r="AH24" s="2">
        <v>285.5</v>
      </c>
      <c r="AI24" s="20">
        <v>85233.469999999972</v>
      </c>
      <c r="AJ24" s="2">
        <v>201.3</v>
      </c>
      <c r="AK24" s="20">
        <v>68651.079999999987</v>
      </c>
      <c r="AL24" s="2">
        <v>171</v>
      </c>
      <c r="AM24" s="20">
        <v>62491.29</v>
      </c>
      <c r="AN24" s="2">
        <v>278</v>
      </c>
      <c r="AO24" s="20">
        <v>98343.959999999992</v>
      </c>
      <c r="AP24" s="2">
        <v>20</v>
      </c>
      <c r="AQ24" s="20">
        <v>7600</v>
      </c>
    </row>
    <row r="25" spans="19:43" ht="16.2" customHeight="1" x14ac:dyDescent="0.3">
      <c r="S25" s="65" t="s">
        <v>177</v>
      </c>
      <c r="AF25" s="68"/>
      <c r="AG25" s="2" t="s">
        <v>146</v>
      </c>
      <c r="AH25" s="2">
        <v>732.5</v>
      </c>
      <c r="AI25" s="20">
        <v>234328.20999999993</v>
      </c>
      <c r="AJ25" s="2">
        <v>297</v>
      </c>
      <c r="AK25" s="20">
        <v>99010.910000000018</v>
      </c>
      <c r="AL25" s="2">
        <v>53</v>
      </c>
      <c r="AM25" s="20">
        <v>16731.46</v>
      </c>
      <c r="AN25" s="2">
        <v>1.75</v>
      </c>
      <c r="AO25" s="20">
        <v>665.40000000000009</v>
      </c>
      <c r="AP25" s="2"/>
      <c r="AQ25" s="20"/>
    </row>
    <row r="26" spans="19:43" ht="16.2" customHeight="1" x14ac:dyDescent="0.3">
      <c r="S26" s="65" t="s">
        <v>178</v>
      </c>
      <c r="AF26" s="68"/>
      <c r="AG26" s="2" t="s">
        <v>147</v>
      </c>
      <c r="AH26" s="2">
        <v>1.25</v>
      </c>
      <c r="AI26" s="20">
        <v>323.22000000000003</v>
      </c>
      <c r="AJ26" s="2">
        <v>0</v>
      </c>
      <c r="AK26" s="20">
        <v>0</v>
      </c>
      <c r="AL26" s="2">
        <v>0</v>
      </c>
      <c r="AM26" s="20">
        <v>0</v>
      </c>
      <c r="AN26" s="2"/>
      <c r="AO26" s="20"/>
      <c r="AP26" s="2"/>
      <c r="AQ26" s="20"/>
    </row>
    <row r="27" spans="19:43" ht="16.2" customHeight="1" x14ac:dyDescent="0.3">
      <c r="AF27" s="68"/>
      <c r="AG27" s="2" t="s">
        <v>148</v>
      </c>
      <c r="AH27" s="2">
        <v>300</v>
      </c>
      <c r="AI27" s="20">
        <v>71249.919999999998</v>
      </c>
      <c r="AJ27" s="2">
        <v>171</v>
      </c>
      <c r="AK27" s="20">
        <v>42172.68</v>
      </c>
      <c r="AL27" s="2">
        <v>120</v>
      </c>
      <c r="AM27" s="20">
        <v>31236.29</v>
      </c>
      <c r="AN27" s="2">
        <v>24</v>
      </c>
      <c r="AO27" s="20">
        <v>6383.88</v>
      </c>
      <c r="AP27" s="2"/>
      <c r="AQ27" s="20"/>
    </row>
    <row r="28" spans="19:43" ht="16.2" customHeight="1" x14ac:dyDescent="0.3">
      <c r="AF28" s="68"/>
      <c r="AG28" s="2" t="s">
        <v>149</v>
      </c>
      <c r="AH28" s="2">
        <v>30</v>
      </c>
      <c r="AI28" s="20">
        <v>10260.200000000001</v>
      </c>
      <c r="AJ28" s="2">
        <v>0</v>
      </c>
      <c r="AK28" s="20">
        <v>0</v>
      </c>
      <c r="AL28" s="2">
        <v>0</v>
      </c>
      <c r="AM28" s="20">
        <v>0</v>
      </c>
      <c r="AN28" s="2"/>
      <c r="AO28" s="20"/>
      <c r="AP28" s="2"/>
      <c r="AQ28" s="20"/>
    </row>
    <row r="29" spans="19:43" ht="16.2" customHeight="1" x14ac:dyDescent="0.3">
      <c r="AF29" s="68"/>
      <c r="AG29" s="2" t="s">
        <v>82</v>
      </c>
      <c r="AH29" s="2">
        <v>253</v>
      </c>
      <c r="AI29" s="20">
        <v>81511.209999999992</v>
      </c>
      <c r="AJ29" s="2">
        <v>83.25</v>
      </c>
      <c r="AK29" s="20">
        <v>26477.680000000004</v>
      </c>
      <c r="AL29" s="2">
        <v>28.75</v>
      </c>
      <c r="AM29" s="20">
        <v>10402.49</v>
      </c>
      <c r="AN29" s="2">
        <v>37</v>
      </c>
      <c r="AO29" s="20">
        <v>12692.460000000001</v>
      </c>
      <c r="AP29" s="2"/>
      <c r="AQ29" s="20"/>
    </row>
    <row r="30" spans="19:43" ht="16.2" customHeight="1" x14ac:dyDescent="0.3">
      <c r="AF30" s="68"/>
      <c r="AG30" s="2" t="s">
        <v>150</v>
      </c>
      <c r="AH30" s="2">
        <v>112</v>
      </c>
      <c r="AI30" s="20">
        <v>30786.18</v>
      </c>
      <c r="AJ30" s="2">
        <v>67</v>
      </c>
      <c r="AK30" s="20">
        <v>22835.030000000002</v>
      </c>
      <c r="AL30" s="2">
        <v>15</v>
      </c>
      <c r="AM30" s="20">
        <v>5700.4400000000005</v>
      </c>
      <c r="AN30" s="2">
        <v>66</v>
      </c>
      <c r="AO30" s="20">
        <v>20976.44</v>
      </c>
      <c r="AP30" s="2"/>
      <c r="AQ30" s="20"/>
    </row>
    <row r="31" spans="19:43" ht="16.2" customHeight="1" x14ac:dyDescent="0.3">
      <c r="AF31" s="68"/>
      <c r="AG31" s="2" t="s">
        <v>151</v>
      </c>
      <c r="AH31" s="2">
        <v>1.4</v>
      </c>
      <c r="AI31" s="20">
        <v>478.8</v>
      </c>
      <c r="AJ31" s="2">
        <v>0</v>
      </c>
      <c r="AK31" s="20">
        <v>0</v>
      </c>
      <c r="AL31" s="2">
        <v>19.8</v>
      </c>
      <c r="AM31" s="20">
        <v>6711.81</v>
      </c>
      <c r="AN31" s="2">
        <v>0</v>
      </c>
      <c r="AO31" s="20">
        <v>0</v>
      </c>
      <c r="AP31" s="2"/>
      <c r="AQ31" s="20"/>
    </row>
    <row r="32" spans="19:43" ht="16.2" customHeight="1" x14ac:dyDescent="0.3">
      <c r="AF32" s="66" t="s">
        <v>172</v>
      </c>
      <c r="AG32" s="66"/>
      <c r="AH32" s="42">
        <f>SUM(AH19:AH31)</f>
        <v>1955.65</v>
      </c>
      <c r="AI32" s="45">
        <f t="shared" ref="AI32:AO32" si="7">SUM(AI19:AI31)</f>
        <v>585727.40999999992</v>
      </c>
      <c r="AJ32" s="42">
        <f t="shared" si="7"/>
        <v>1004.55</v>
      </c>
      <c r="AK32" s="45">
        <f t="shared" si="7"/>
        <v>321298.87000000005</v>
      </c>
      <c r="AL32" s="42">
        <f t="shared" si="7"/>
        <v>570.54999999999995</v>
      </c>
      <c r="AM32" s="45">
        <f t="shared" si="7"/>
        <v>187160.84</v>
      </c>
      <c r="AN32" s="42">
        <f t="shared" si="7"/>
        <v>630.75</v>
      </c>
      <c r="AO32" s="45">
        <f t="shared" si="7"/>
        <v>200242.74</v>
      </c>
      <c r="AP32" s="42">
        <f t="shared" ref="AP32" si="8">SUM(AP19:AP31)</f>
        <v>58</v>
      </c>
      <c r="AQ32" s="45">
        <f t="shared" ref="AQ32" si="9">SUM(AQ19:AQ31)</f>
        <v>18620.400000000001</v>
      </c>
    </row>
    <row r="33" spans="32:43" ht="16.2" customHeight="1" x14ac:dyDescent="0.3">
      <c r="AF33" s="68" t="s">
        <v>84</v>
      </c>
      <c r="AG33" s="2" t="s">
        <v>141</v>
      </c>
      <c r="AH33" s="2">
        <v>10</v>
      </c>
      <c r="AI33" s="20">
        <v>11210</v>
      </c>
      <c r="AJ33" s="2">
        <v>0</v>
      </c>
      <c r="AK33" s="20">
        <v>0</v>
      </c>
      <c r="AL33" s="2">
        <v>0</v>
      </c>
      <c r="AM33" s="20">
        <v>0</v>
      </c>
      <c r="AN33" s="2"/>
      <c r="AO33" s="20"/>
      <c r="AP33" s="2"/>
      <c r="AQ33" s="20"/>
    </row>
    <row r="34" spans="32:43" ht="16.2" customHeight="1" x14ac:dyDescent="0.3">
      <c r="AF34" s="68"/>
      <c r="AG34" s="2" t="s">
        <v>153</v>
      </c>
      <c r="AH34" s="2">
        <v>0</v>
      </c>
      <c r="AI34" s="20">
        <v>0</v>
      </c>
      <c r="AJ34" s="2">
        <v>0</v>
      </c>
      <c r="AK34" s="20">
        <v>0</v>
      </c>
      <c r="AL34" s="2">
        <v>5</v>
      </c>
      <c r="AM34" s="20">
        <v>6175.24</v>
      </c>
      <c r="AN34" s="2">
        <v>0</v>
      </c>
      <c r="AO34" s="20">
        <v>0</v>
      </c>
      <c r="AP34" s="2"/>
      <c r="AQ34" s="20"/>
    </row>
    <row r="35" spans="32:43" ht="16.2" customHeight="1" x14ac:dyDescent="0.3">
      <c r="AF35" s="68"/>
      <c r="AG35" s="2" t="s">
        <v>143</v>
      </c>
      <c r="AH35" s="2">
        <v>250</v>
      </c>
      <c r="AI35" s="20">
        <v>295628.67</v>
      </c>
      <c r="AJ35" s="2">
        <v>66.5</v>
      </c>
      <c r="AK35" s="20">
        <v>79600.87</v>
      </c>
      <c r="AL35" s="2">
        <v>-36.75</v>
      </c>
      <c r="AM35" s="20">
        <v>-43875.28</v>
      </c>
      <c r="AN35" s="2">
        <v>0</v>
      </c>
      <c r="AO35" s="20">
        <v>0</v>
      </c>
      <c r="AP35" s="2"/>
      <c r="AQ35" s="20"/>
    </row>
    <row r="36" spans="32:43" ht="16.2" customHeight="1" x14ac:dyDescent="0.3">
      <c r="AF36" s="68"/>
      <c r="AG36" s="2" t="s">
        <v>152</v>
      </c>
      <c r="AH36" s="2">
        <v>40</v>
      </c>
      <c r="AI36" s="20">
        <v>49401</v>
      </c>
      <c r="AJ36" s="2">
        <v>75</v>
      </c>
      <c r="AK36" s="20">
        <v>91865.440000000017</v>
      </c>
      <c r="AL36" s="2">
        <v>-5.0500000000000007</v>
      </c>
      <c r="AM36" s="20">
        <v>-5960.76</v>
      </c>
      <c r="AN36" s="2">
        <v>0</v>
      </c>
      <c r="AO36" s="20">
        <v>0</v>
      </c>
      <c r="AP36" s="2"/>
      <c r="AQ36" s="20"/>
    </row>
    <row r="37" spans="32:43" ht="16.2" customHeight="1" x14ac:dyDescent="0.3">
      <c r="AF37" s="68"/>
      <c r="AG37" s="2" t="s">
        <v>145</v>
      </c>
      <c r="AH37" s="2">
        <v>315</v>
      </c>
      <c r="AI37" s="20">
        <v>373827.27999999997</v>
      </c>
      <c r="AJ37" s="2">
        <v>180</v>
      </c>
      <c r="AK37" s="20">
        <v>210140.62</v>
      </c>
      <c r="AL37" s="2">
        <v>121</v>
      </c>
      <c r="AM37" s="20">
        <v>142900.31</v>
      </c>
      <c r="AN37" s="2">
        <v>5</v>
      </c>
      <c r="AO37" s="20">
        <v>6175.25</v>
      </c>
      <c r="AP37" s="2"/>
      <c r="AQ37" s="20"/>
    </row>
    <row r="38" spans="32:43" ht="16.2" customHeight="1" x14ac:dyDescent="0.3">
      <c r="AF38" s="68"/>
      <c r="AG38" s="2" t="s">
        <v>81</v>
      </c>
      <c r="AH38" s="2">
        <v>30</v>
      </c>
      <c r="AI38" s="20">
        <v>35149.659999999996</v>
      </c>
      <c r="AJ38" s="2">
        <v>68</v>
      </c>
      <c r="AK38" s="20">
        <v>81966.139999999985</v>
      </c>
      <c r="AL38" s="2">
        <v>30</v>
      </c>
      <c r="AM38" s="20">
        <v>35149.629999999997</v>
      </c>
      <c r="AN38" s="2">
        <v>44.75</v>
      </c>
      <c r="AO38" s="20">
        <v>51286.5</v>
      </c>
      <c r="AP38" s="2"/>
      <c r="AQ38" s="20"/>
    </row>
    <row r="39" spans="32:43" ht="16.2" customHeight="1" x14ac:dyDescent="0.3">
      <c r="AF39" s="68"/>
      <c r="AG39" s="2" t="s">
        <v>146</v>
      </c>
      <c r="AH39" s="2">
        <v>193.75</v>
      </c>
      <c r="AI39" s="20">
        <v>228722.79</v>
      </c>
      <c r="AJ39" s="2">
        <v>10</v>
      </c>
      <c r="AK39" s="20">
        <v>11969.96</v>
      </c>
      <c r="AL39" s="2">
        <v>45</v>
      </c>
      <c r="AM39" s="20">
        <v>53676.58</v>
      </c>
      <c r="AN39" s="2">
        <v>0</v>
      </c>
      <c r="AO39" s="20">
        <v>0</v>
      </c>
      <c r="AP39" s="2"/>
      <c r="AQ39" s="20"/>
    </row>
    <row r="40" spans="32:43" ht="16.2" customHeight="1" x14ac:dyDescent="0.3">
      <c r="AF40" s="68"/>
      <c r="AG40" s="2" t="s">
        <v>147</v>
      </c>
      <c r="AH40" s="2">
        <v>13.5</v>
      </c>
      <c r="AI40" s="20">
        <v>16323.169999999998</v>
      </c>
      <c r="AJ40" s="2">
        <v>22</v>
      </c>
      <c r="AK40" s="20">
        <v>24662.010000000002</v>
      </c>
      <c r="AL40" s="2">
        <v>16</v>
      </c>
      <c r="AM40" s="20">
        <v>17936.059999999998</v>
      </c>
      <c r="AN40" s="2">
        <v>5</v>
      </c>
      <c r="AO40" s="20">
        <v>5605</v>
      </c>
      <c r="AP40" s="2">
        <v>2</v>
      </c>
      <c r="AQ40" s="20">
        <v>2242.0100000000002</v>
      </c>
    </row>
    <row r="41" spans="32:43" ht="16.2" customHeight="1" x14ac:dyDescent="0.3">
      <c r="AF41" s="68"/>
      <c r="AG41" s="2" t="s">
        <v>148</v>
      </c>
      <c r="AH41" s="2">
        <v>282.5</v>
      </c>
      <c r="AI41" s="20">
        <v>339293.02999999991</v>
      </c>
      <c r="AJ41" s="2">
        <v>24.1</v>
      </c>
      <c r="AK41" s="20">
        <v>29838.650000000005</v>
      </c>
      <c r="AL41" s="2">
        <v>68.5</v>
      </c>
      <c r="AM41" s="20">
        <v>82145.210000000006</v>
      </c>
      <c r="AN41" s="2">
        <v>90</v>
      </c>
      <c r="AO41" s="20">
        <v>108112.89</v>
      </c>
      <c r="AP41" s="2">
        <v>30</v>
      </c>
      <c r="AQ41" s="20">
        <v>35910.31</v>
      </c>
    </row>
    <row r="42" spans="32:43" ht="16.2" customHeight="1" x14ac:dyDescent="0.3">
      <c r="AF42" s="68"/>
      <c r="AG42" s="2" t="s">
        <v>149</v>
      </c>
      <c r="AH42" s="2">
        <v>20</v>
      </c>
      <c r="AI42" s="20">
        <v>24319.87</v>
      </c>
      <c r="AJ42" s="2">
        <v>-15</v>
      </c>
      <c r="AK42" s="20">
        <v>-18201.900000000001</v>
      </c>
      <c r="AL42" s="2">
        <v>0</v>
      </c>
      <c r="AM42" s="20">
        <v>0</v>
      </c>
      <c r="AN42" s="2"/>
      <c r="AO42" s="20"/>
      <c r="AP42" s="2"/>
      <c r="AQ42" s="20"/>
    </row>
    <row r="43" spans="32:43" ht="16.2" customHeight="1" x14ac:dyDescent="0.3">
      <c r="AF43" s="68"/>
      <c r="AG43" s="2" t="s">
        <v>82</v>
      </c>
      <c r="AH43" s="2">
        <v>345</v>
      </c>
      <c r="AI43" s="20">
        <v>407456.87</v>
      </c>
      <c r="AJ43" s="2">
        <v>-11</v>
      </c>
      <c r="AK43" s="20">
        <v>-12881.290000000003</v>
      </c>
      <c r="AL43" s="2">
        <v>6</v>
      </c>
      <c r="AM43" s="20">
        <v>6859.9299999999967</v>
      </c>
      <c r="AN43" s="2">
        <v>10.899999999999999</v>
      </c>
      <c r="AO43" s="20">
        <v>13803.030000000006</v>
      </c>
      <c r="AP43" s="2"/>
      <c r="AQ43" s="20"/>
    </row>
    <row r="44" spans="32:43" ht="16.2" customHeight="1" x14ac:dyDescent="0.3">
      <c r="AF44" s="68"/>
      <c r="AG44" s="2" t="s">
        <v>150</v>
      </c>
      <c r="AH44" s="2">
        <v>55</v>
      </c>
      <c r="AI44" s="20">
        <v>65291.03</v>
      </c>
      <c r="AJ44" s="2">
        <v>20.5</v>
      </c>
      <c r="AK44" s="20">
        <v>24159.5</v>
      </c>
      <c r="AL44" s="2">
        <v>85</v>
      </c>
      <c r="AM44" s="20">
        <v>100821.08</v>
      </c>
      <c r="AN44" s="2">
        <v>0</v>
      </c>
      <c r="AO44" s="20">
        <v>0</v>
      </c>
      <c r="AP44" s="2"/>
      <c r="AQ44" s="20"/>
    </row>
    <row r="45" spans="32:43" ht="16.2" customHeight="1" x14ac:dyDescent="0.3">
      <c r="AF45" s="68"/>
      <c r="AG45" s="2" t="s">
        <v>151</v>
      </c>
      <c r="AH45" s="2">
        <v>19.05</v>
      </c>
      <c r="AI45" s="20">
        <v>23194.129999999997</v>
      </c>
      <c r="AJ45" s="2">
        <v>0</v>
      </c>
      <c r="AK45" s="20">
        <v>0</v>
      </c>
      <c r="AL45" s="2">
        <v>0.1</v>
      </c>
      <c r="AM45" s="20">
        <v>123.5</v>
      </c>
      <c r="AN45" s="2">
        <v>0</v>
      </c>
      <c r="AO45" s="20">
        <v>0</v>
      </c>
      <c r="AP45" s="2"/>
      <c r="AQ45" s="20"/>
    </row>
    <row r="46" spans="32:43" ht="16.2" customHeight="1" x14ac:dyDescent="0.3">
      <c r="AF46" s="66" t="s">
        <v>173</v>
      </c>
      <c r="AG46" s="66"/>
      <c r="AH46" s="42">
        <f>SUM(AH33:AH45)</f>
        <v>1573.8</v>
      </c>
      <c r="AI46" s="45">
        <f t="shared" ref="AI46:AO46" si="10">SUM(AI33:AI45)</f>
        <v>1869817.5000000002</v>
      </c>
      <c r="AJ46" s="42">
        <f t="shared" si="10"/>
        <v>440.1</v>
      </c>
      <c r="AK46" s="45">
        <f t="shared" si="10"/>
        <v>523119.99999999994</v>
      </c>
      <c r="AL46" s="42">
        <f t="shared" si="10"/>
        <v>334.8</v>
      </c>
      <c r="AM46" s="45">
        <f t="shared" si="10"/>
        <v>395951.5</v>
      </c>
      <c r="AN46" s="42">
        <f t="shared" si="10"/>
        <v>155.65</v>
      </c>
      <c r="AO46" s="45">
        <f t="shared" si="10"/>
        <v>184982.67</v>
      </c>
      <c r="AP46" s="42">
        <f t="shared" ref="AP46" si="11">SUM(AP33:AP45)</f>
        <v>32</v>
      </c>
      <c r="AQ46" s="45">
        <f t="shared" ref="AQ46" si="12">SUM(AQ33:AQ45)</f>
        <v>38152.32</v>
      </c>
    </row>
    <row r="47" spans="32:43" ht="16.2" customHeight="1" x14ac:dyDescent="0.3">
      <c r="AF47" s="69" t="s">
        <v>137</v>
      </c>
      <c r="AG47" s="69"/>
      <c r="AH47" s="51">
        <f>SUM(AH46,AH32,AH18)</f>
        <v>14195.2</v>
      </c>
      <c r="AI47" s="52">
        <f t="shared" ref="AI47:AK47" si="13">SUM(AI46,AI32,AI18)</f>
        <v>7246099.6199999992</v>
      </c>
      <c r="AJ47" s="51">
        <f t="shared" si="13"/>
        <v>9004.65</v>
      </c>
      <c r="AK47" s="52">
        <f t="shared" si="13"/>
        <v>4375845.51</v>
      </c>
      <c r="AL47" s="51">
        <f t="shared" ref="AL47" si="14">SUM(AL46,AL32,AL18)</f>
        <v>6190.6</v>
      </c>
      <c r="AM47" s="52">
        <f t="shared" ref="AM47:AN47" si="15">SUM(AM46,AM32,AM18)</f>
        <v>3042962.88</v>
      </c>
      <c r="AN47" s="51">
        <f t="shared" si="15"/>
        <v>5729.9</v>
      </c>
      <c r="AO47" s="52">
        <f t="shared" ref="AO47" si="16">SUM(AO46,AO32,AO18)</f>
        <v>2682219.3800000004</v>
      </c>
      <c r="AP47" s="51">
        <f t="shared" ref="AP47" si="17">SUM(AP46,AP32,AP18)</f>
        <v>768</v>
      </c>
      <c r="AQ47" s="52">
        <f t="shared" ref="AQ47" si="18">SUM(AQ46,AQ32,AQ18)</f>
        <v>397964.6</v>
      </c>
    </row>
    <row r="48" spans="32:43" ht="16.2" customHeight="1" x14ac:dyDescent="0.3"/>
    <row r="49" ht="16.2" customHeight="1" x14ac:dyDescent="0.3"/>
    <row r="50" ht="16.2" customHeight="1" x14ac:dyDescent="0.3"/>
    <row r="51" ht="16.2" customHeight="1" x14ac:dyDescent="0.3"/>
    <row r="52" ht="16.2" customHeight="1" x14ac:dyDescent="0.3"/>
    <row r="53" ht="16.2" customHeight="1" x14ac:dyDescent="0.3"/>
    <row r="54" ht="16.2" customHeight="1" x14ac:dyDescent="0.3"/>
    <row r="55" ht="16.2" customHeight="1" x14ac:dyDescent="0.3"/>
  </sheetData>
  <mergeCells count="33">
    <mergeCell ref="N1:N2"/>
    <mergeCell ref="AF46:AG46"/>
    <mergeCell ref="AF47:AG47"/>
    <mergeCell ref="AF2:AF17"/>
    <mergeCell ref="G1:G2"/>
    <mergeCell ref="F1:F2"/>
    <mergeCell ref="M1:M2"/>
    <mergeCell ref="L1:L2"/>
    <mergeCell ref="K1:K2"/>
    <mergeCell ref="J1:J2"/>
    <mergeCell ref="I1:I2"/>
    <mergeCell ref="H1:H2"/>
    <mergeCell ref="R1:S1"/>
    <mergeCell ref="T1:U1"/>
    <mergeCell ref="V1:W1"/>
    <mergeCell ref="X1:Y1"/>
    <mergeCell ref="Z1:AA1"/>
    <mergeCell ref="A6:B6"/>
    <mergeCell ref="AB1:AB2"/>
    <mergeCell ref="AD1:AD2"/>
    <mergeCell ref="AC1:AC2"/>
    <mergeCell ref="AF33:AF45"/>
    <mergeCell ref="AF18:AG18"/>
    <mergeCell ref="AF32:AG32"/>
    <mergeCell ref="AF19:AF31"/>
    <mergeCell ref="E1:E2"/>
    <mergeCell ref="D1:D2"/>
    <mergeCell ref="C1:C2"/>
    <mergeCell ref="B1:B2"/>
    <mergeCell ref="A1:A2"/>
    <mergeCell ref="Q1:Q2"/>
    <mergeCell ref="P1:P2"/>
    <mergeCell ref="O1:O2"/>
  </mergeCells>
  <phoneticPr fontId="10" type="noConversion"/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83F6122F-9758-4CA4-B2FC-F44110960EF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'PRODUCTS LAUNCHED IN 2021'!AI2:AO2</xm:f>
              <xm:sqref>AR2</xm:sqref>
            </x14:sparkline>
            <x14:sparkline>
              <xm:f>'PRODUCTS LAUNCHED IN 2021'!AI3:AO3</xm:f>
              <xm:sqref>AR3</xm:sqref>
            </x14:sparkline>
            <x14:sparkline>
              <xm:f>'PRODUCTS LAUNCHED IN 2021'!AI4:AO4</xm:f>
              <xm:sqref>AR4</xm:sqref>
            </x14:sparkline>
            <x14:sparkline>
              <xm:f>'PRODUCTS LAUNCHED IN 2021'!AI5:AO5</xm:f>
              <xm:sqref>AR5</xm:sqref>
            </x14:sparkline>
            <x14:sparkline>
              <xm:f>'PRODUCTS LAUNCHED IN 2021'!AI6:AO6</xm:f>
              <xm:sqref>AR6</xm:sqref>
            </x14:sparkline>
            <x14:sparkline>
              <xm:f>'PRODUCTS LAUNCHED IN 2021'!AI7:AO7</xm:f>
              <xm:sqref>AR7</xm:sqref>
            </x14:sparkline>
            <x14:sparkline>
              <xm:f>'PRODUCTS LAUNCHED IN 2021'!AI8:AO8</xm:f>
              <xm:sqref>AR8</xm:sqref>
            </x14:sparkline>
            <x14:sparkline>
              <xm:f>'PRODUCTS LAUNCHED IN 2021'!AI9:AO9</xm:f>
              <xm:sqref>AR9</xm:sqref>
            </x14:sparkline>
            <x14:sparkline>
              <xm:f>'PRODUCTS LAUNCHED IN 2021'!AI10:AO10</xm:f>
              <xm:sqref>AR10</xm:sqref>
            </x14:sparkline>
            <x14:sparkline>
              <xm:f>'PRODUCTS LAUNCHED IN 2021'!AI11:AO11</xm:f>
              <xm:sqref>AR11</xm:sqref>
            </x14:sparkline>
            <x14:sparkline>
              <xm:f>'PRODUCTS LAUNCHED IN 2021'!AI12:AO12</xm:f>
              <xm:sqref>AR12</xm:sqref>
            </x14:sparkline>
            <x14:sparkline>
              <xm:f>'PRODUCTS LAUNCHED IN 2021'!AI13:AO13</xm:f>
              <xm:sqref>AR13</xm:sqref>
            </x14:sparkline>
            <x14:sparkline>
              <xm:f>'PRODUCTS LAUNCHED IN 2021'!AI14:AO14</xm:f>
              <xm:sqref>AR14</xm:sqref>
            </x14:sparkline>
            <x14:sparkline>
              <xm:f>'PRODUCTS LAUNCHED IN 2021'!AI15:AO15</xm:f>
              <xm:sqref>AR15</xm:sqref>
            </x14:sparkline>
            <x14:sparkline>
              <xm:f>'PRODUCTS LAUNCHED IN 2021'!AI16:AO16</xm:f>
              <xm:sqref>AR16</xm:sqref>
            </x14:sparkline>
            <x14:sparkline>
              <xm:f>'PRODUCTS LAUNCHED IN 2021'!AI17:AO17</xm:f>
              <xm:sqref>AR17</xm:sqref>
            </x14:sparkline>
            <x14:sparkline>
              <xm:f>'PRODUCTS LAUNCHED IN 2021'!AI18:AO18</xm:f>
              <xm:sqref>AR18</xm:sqref>
            </x14:sparkline>
            <x14:sparkline>
              <xm:f>'PRODUCTS LAUNCHED IN 2021'!AI19:AO19</xm:f>
              <xm:sqref>AR19</xm:sqref>
            </x14:sparkline>
            <x14:sparkline>
              <xm:f>'PRODUCTS LAUNCHED IN 2021'!AI20:AO20</xm:f>
              <xm:sqref>AR20</xm:sqref>
            </x14:sparkline>
            <x14:sparkline>
              <xm:f>'PRODUCTS LAUNCHED IN 2021'!AI21:AO21</xm:f>
              <xm:sqref>AR21</xm:sqref>
            </x14:sparkline>
            <x14:sparkline>
              <xm:f>'PRODUCTS LAUNCHED IN 2021'!AI22:AO22</xm:f>
              <xm:sqref>AR22</xm:sqref>
            </x14:sparkline>
            <x14:sparkline>
              <xm:f>'PRODUCTS LAUNCHED IN 2021'!AI23:AO23</xm:f>
              <xm:sqref>AR23</xm:sqref>
            </x14:sparkline>
            <x14:sparkline>
              <xm:f>'PRODUCTS LAUNCHED IN 2021'!AI24:AO24</xm:f>
              <xm:sqref>AR24</xm:sqref>
            </x14:sparkline>
            <x14:sparkline>
              <xm:f>'PRODUCTS LAUNCHED IN 2021'!AI25:AO25</xm:f>
              <xm:sqref>AR25</xm:sqref>
            </x14:sparkline>
            <x14:sparkline>
              <xm:f>'PRODUCTS LAUNCHED IN 2021'!AI26:AO26</xm:f>
              <xm:sqref>AR26</xm:sqref>
            </x14:sparkline>
            <x14:sparkline>
              <xm:f>'PRODUCTS LAUNCHED IN 2021'!AI27:AO27</xm:f>
              <xm:sqref>AR27</xm:sqref>
            </x14:sparkline>
            <x14:sparkline>
              <xm:f>'PRODUCTS LAUNCHED IN 2021'!AI28:AO28</xm:f>
              <xm:sqref>AR28</xm:sqref>
            </x14:sparkline>
            <x14:sparkline>
              <xm:f>'PRODUCTS LAUNCHED IN 2021'!AI29:AO29</xm:f>
              <xm:sqref>AR29</xm:sqref>
            </x14:sparkline>
            <x14:sparkline>
              <xm:f>'PRODUCTS LAUNCHED IN 2021'!AI30:AO30</xm:f>
              <xm:sqref>AR30</xm:sqref>
            </x14:sparkline>
            <x14:sparkline>
              <xm:f>'PRODUCTS LAUNCHED IN 2021'!AI31:AO31</xm:f>
              <xm:sqref>AR31</xm:sqref>
            </x14:sparkline>
            <x14:sparkline>
              <xm:f>'PRODUCTS LAUNCHED IN 2021'!AI32:AO32</xm:f>
              <xm:sqref>AR32</xm:sqref>
            </x14:sparkline>
            <x14:sparkline>
              <xm:f>'PRODUCTS LAUNCHED IN 2021'!AI33:AO33</xm:f>
              <xm:sqref>AR33</xm:sqref>
            </x14:sparkline>
            <x14:sparkline>
              <xm:f>'PRODUCTS LAUNCHED IN 2021'!AI34:AO34</xm:f>
              <xm:sqref>AR34</xm:sqref>
            </x14:sparkline>
            <x14:sparkline>
              <xm:f>'PRODUCTS LAUNCHED IN 2021'!AI35:AO35</xm:f>
              <xm:sqref>AR35</xm:sqref>
            </x14:sparkline>
            <x14:sparkline>
              <xm:f>'PRODUCTS LAUNCHED IN 2021'!AI36:AO36</xm:f>
              <xm:sqref>AR36</xm:sqref>
            </x14:sparkline>
            <x14:sparkline>
              <xm:f>'PRODUCTS LAUNCHED IN 2021'!AI37:AO37</xm:f>
              <xm:sqref>AR37</xm:sqref>
            </x14:sparkline>
            <x14:sparkline>
              <xm:f>'PRODUCTS LAUNCHED IN 2021'!AI38:AO38</xm:f>
              <xm:sqref>AR38</xm:sqref>
            </x14:sparkline>
            <x14:sparkline>
              <xm:f>'PRODUCTS LAUNCHED IN 2021'!AI39:AO39</xm:f>
              <xm:sqref>AR39</xm:sqref>
            </x14:sparkline>
            <x14:sparkline>
              <xm:f>'PRODUCTS LAUNCHED IN 2021'!AI40:AO40</xm:f>
              <xm:sqref>AR40</xm:sqref>
            </x14:sparkline>
            <x14:sparkline>
              <xm:f>'PRODUCTS LAUNCHED IN 2021'!AI41:AO41</xm:f>
              <xm:sqref>AR41</xm:sqref>
            </x14:sparkline>
            <x14:sparkline>
              <xm:f>'PRODUCTS LAUNCHED IN 2021'!AI42:AO42</xm:f>
              <xm:sqref>AR42</xm:sqref>
            </x14:sparkline>
            <x14:sparkline>
              <xm:f>'PRODUCTS LAUNCHED IN 2021'!AI43:AO43</xm:f>
              <xm:sqref>AR43</xm:sqref>
            </x14:sparkline>
            <x14:sparkline>
              <xm:f>'PRODUCTS LAUNCHED IN 2021'!AI44:AO44</xm:f>
              <xm:sqref>AR44</xm:sqref>
            </x14:sparkline>
            <x14:sparkline>
              <xm:f>'PRODUCTS LAUNCHED IN 2021'!AI45:AO45</xm:f>
              <xm:sqref>AR45</xm:sqref>
            </x14:sparkline>
            <x14:sparkline>
              <xm:f>'PRODUCTS LAUNCHED IN 2021'!AI46:AO46</xm:f>
              <xm:sqref>AR46</xm:sqref>
            </x14:sparkline>
            <x14:sparkline>
              <xm:f>'PRODUCTS LAUNCHED IN 2021'!AI47:AO47</xm:f>
              <xm:sqref>AR47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4E36-FFA2-44DA-8ABE-9B138956D60A}">
  <dimension ref="A1:AL76"/>
  <sheetViews>
    <sheetView zoomScaleNormal="100" workbookViewId="0">
      <pane xSplit="17" ySplit="2" topLeftCell="X3" activePane="bottomRight" state="frozen"/>
      <selection pane="topRight" activeCell="R1" sqref="R1"/>
      <selection pane="bottomLeft" activeCell="A3" sqref="A3"/>
      <selection pane="bottomRight" activeCell="A48" sqref="A48:XFD48"/>
    </sheetView>
  </sheetViews>
  <sheetFormatPr defaultRowHeight="14.4" x14ac:dyDescent="0.3"/>
  <cols>
    <col min="1" max="1" width="6.6640625" bestFit="1" customWidth="1"/>
    <col min="2" max="2" width="13.5546875" bestFit="1" customWidth="1"/>
    <col min="3" max="3" width="7.6640625" hidden="1" customWidth="1"/>
    <col min="4" max="4" width="8.5546875" hidden="1" customWidth="1"/>
    <col min="5" max="5" width="7.21875" hidden="1" customWidth="1"/>
    <col min="6" max="6" width="8.33203125" hidden="1" customWidth="1"/>
    <col min="7" max="7" width="8.44140625" hidden="1" customWidth="1"/>
    <col min="8" max="9" width="15.5546875" hidden="1" customWidth="1"/>
    <col min="10" max="10" width="20.6640625" hidden="1" customWidth="1"/>
    <col min="11" max="11" width="23.5546875" hidden="1" customWidth="1"/>
    <col min="12" max="12" width="8.109375" hidden="1" customWidth="1"/>
    <col min="13" max="13" width="8.5546875" hidden="1" customWidth="1"/>
    <col min="14" max="14" width="7.88671875" hidden="1" customWidth="1"/>
    <col min="15" max="15" width="4.6640625" hidden="1" customWidth="1"/>
    <col min="16" max="16" width="8.6640625" hidden="1" customWidth="1"/>
    <col min="17" max="17" width="7" hidden="1" customWidth="1"/>
    <col min="18" max="18" width="10.109375" bestFit="1" customWidth="1"/>
    <col min="19" max="19" width="12.109375" style="18" bestFit="1" customWidth="1"/>
    <col min="20" max="20" width="10.109375" bestFit="1" customWidth="1"/>
    <col min="21" max="21" width="10.5546875" style="18" bestFit="1" customWidth="1"/>
    <col min="22" max="22" width="10.109375" bestFit="1" customWidth="1"/>
    <col min="23" max="23" width="10.5546875" style="18" bestFit="1" customWidth="1"/>
    <col min="24" max="24" width="10.109375" bestFit="1" customWidth="1"/>
    <col min="25" max="25" width="10.5546875" style="18" bestFit="1" customWidth="1"/>
    <col min="26" max="27" width="13.21875" style="18" customWidth="1"/>
    <col min="28" max="28" width="10.109375" bestFit="1" customWidth="1"/>
    <col min="29" max="29" width="16.77734375" bestFit="1" customWidth="1"/>
    <col min="30" max="30" width="16.21875" bestFit="1" customWidth="1"/>
    <col min="31" max="31" width="9.77734375" hidden="1" customWidth="1"/>
    <col min="32" max="32" width="12.109375" style="18" bestFit="1" customWidth="1"/>
    <col min="33" max="33" width="9.77734375" hidden="1" customWidth="1"/>
    <col min="34" max="34" width="10.5546875" style="18" bestFit="1" customWidth="1"/>
    <col min="35" max="35" width="9.77734375" hidden="1" customWidth="1"/>
    <col min="36" max="36" width="10.5546875" style="18" bestFit="1" customWidth="1"/>
    <col min="37" max="37" width="11.109375" hidden="1" customWidth="1"/>
    <col min="38" max="38" width="11" style="18" bestFit="1" customWidth="1"/>
    <col min="39" max="39" width="10.5546875" customWidth="1"/>
  </cols>
  <sheetData>
    <row r="1" spans="1:38" ht="28.8" x14ac:dyDescent="0.3">
      <c r="A1" s="70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0" t="s">
        <v>6</v>
      </c>
      <c r="H1" s="71" t="s">
        <v>7</v>
      </c>
      <c r="I1" s="71" t="s">
        <v>8</v>
      </c>
      <c r="J1" s="71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2" t="s">
        <v>74</v>
      </c>
      <c r="S1" s="74"/>
      <c r="T1" s="72" t="s">
        <v>75</v>
      </c>
      <c r="U1" s="74"/>
      <c r="V1" s="72" t="s">
        <v>76</v>
      </c>
      <c r="W1" s="74"/>
      <c r="X1" s="72" t="s">
        <v>77</v>
      </c>
      <c r="Y1" s="74"/>
      <c r="Z1" s="67" t="s">
        <v>175</v>
      </c>
      <c r="AA1" s="67" t="s">
        <v>176</v>
      </c>
      <c r="AC1" s="48" t="s">
        <v>1</v>
      </c>
      <c r="AD1" s="48" t="s">
        <v>93</v>
      </c>
      <c r="AE1" s="48" t="s">
        <v>105</v>
      </c>
      <c r="AF1" s="49" t="s">
        <v>106</v>
      </c>
      <c r="AG1" s="48" t="s">
        <v>107</v>
      </c>
      <c r="AH1" s="49" t="s">
        <v>108</v>
      </c>
      <c r="AI1" s="48" t="s">
        <v>109</v>
      </c>
      <c r="AJ1" s="49" t="s">
        <v>110</v>
      </c>
      <c r="AK1" s="15" t="s">
        <v>154</v>
      </c>
      <c r="AL1" s="50" t="s">
        <v>155</v>
      </c>
    </row>
    <row r="2" spans="1:38" x14ac:dyDescent="0.3">
      <c r="A2" s="70"/>
      <c r="B2" s="71"/>
      <c r="C2" s="71"/>
      <c r="D2" s="71"/>
      <c r="E2" s="71"/>
      <c r="F2" s="71"/>
      <c r="G2" s="70"/>
      <c r="H2" s="71"/>
      <c r="I2" s="71"/>
      <c r="J2" s="71"/>
      <c r="K2" s="71"/>
      <c r="L2" s="71"/>
      <c r="M2" s="71"/>
      <c r="N2" s="71"/>
      <c r="O2" s="71"/>
      <c r="P2" s="71"/>
      <c r="Q2" s="73"/>
      <c r="R2" s="16" t="s">
        <v>78</v>
      </c>
      <c r="S2" s="44" t="s">
        <v>79</v>
      </c>
      <c r="T2" s="16" t="s">
        <v>78</v>
      </c>
      <c r="U2" s="44" t="s">
        <v>79</v>
      </c>
      <c r="V2" s="16" t="s">
        <v>78</v>
      </c>
      <c r="W2" s="44" t="s">
        <v>79</v>
      </c>
      <c r="X2" s="16" t="s">
        <v>78</v>
      </c>
      <c r="Y2" s="44" t="s">
        <v>79</v>
      </c>
      <c r="Z2" s="67"/>
      <c r="AA2" s="67"/>
      <c r="AC2" s="68" t="s">
        <v>95</v>
      </c>
      <c r="AD2" s="2" t="s">
        <v>140</v>
      </c>
      <c r="AE2" s="2">
        <v>40</v>
      </c>
      <c r="AF2" s="20">
        <v>11875.16</v>
      </c>
      <c r="AG2" s="2">
        <v>10</v>
      </c>
      <c r="AH2" s="20">
        <v>2945</v>
      </c>
      <c r="AI2" s="2">
        <v>0</v>
      </c>
      <c r="AJ2" s="20">
        <v>0</v>
      </c>
      <c r="AK2" s="2"/>
      <c r="AL2" s="20"/>
    </row>
    <row r="3" spans="1:38" x14ac:dyDescent="0.3">
      <c r="A3" s="11">
        <v>1</v>
      </c>
      <c r="B3" s="1" t="s">
        <v>34</v>
      </c>
      <c r="C3" s="2">
        <v>2022</v>
      </c>
      <c r="D3" s="1" t="s">
        <v>18</v>
      </c>
      <c r="E3" s="1" t="s">
        <v>35</v>
      </c>
      <c r="F3" s="3" t="s">
        <v>20</v>
      </c>
      <c r="G3" s="5"/>
      <c r="H3" s="4" t="s">
        <v>22</v>
      </c>
      <c r="I3" s="4" t="s">
        <v>22</v>
      </c>
      <c r="J3" s="3"/>
      <c r="K3" s="5" t="s">
        <v>36</v>
      </c>
      <c r="L3" s="2"/>
      <c r="M3" s="6">
        <v>310</v>
      </c>
      <c r="N3" s="6">
        <v>347.5</v>
      </c>
      <c r="O3" s="7">
        <v>0.12</v>
      </c>
      <c r="P3" s="8" t="s">
        <v>28</v>
      </c>
      <c r="Q3" s="3">
        <v>3</v>
      </c>
      <c r="R3" s="19">
        <v>726</v>
      </c>
      <c r="S3" s="20">
        <v>223552.89000000007</v>
      </c>
      <c r="T3" s="19">
        <v>110</v>
      </c>
      <c r="U3" s="20">
        <v>35007.17</v>
      </c>
      <c r="V3" s="2">
        <v>18</v>
      </c>
      <c r="W3" s="20">
        <v>5300.6100000000006</v>
      </c>
      <c r="X3" s="2">
        <v>50</v>
      </c>
      <c r="Y3" s="20">
        <v>15200</v>
      </c>
      <c r="Z3" s="61">
        <f>(U3-S3)/ABS(S3)</f>
        <v>-0.84340542410344155</v>
      </c>
      <c r="AA3" s="61">
        <f>(W3-U3)/ABS(U3)</f>
        <v>-0.84858501844050804</v>
      </c>
      <c r="AC3" s="68"/>
      <c r="AD3" s="2" t="s">
        <v>141</v>
      </c>
      <c r="AE3" s="2">
        <v>20</v>
      </c>
      <c r="AF3" s="20">
        <v>5889.71</v>
      </c>
      <c r="AG3" s="2">
        <v>0</v>
      </c>
      <c r="AH3" s="20">
        <v>0</v>
      </c>
      <c r="AI3" s="2">
        <v>0</v>
      </c>
      <c r="AJ3" s="20">
        <v>0</v>
      </c>
      <c r="AK3" s="2"/>
      <c r="AL3" s="20"/>
    </row>
    <row r="4" spans="1:38" x14ac:dyDescent="0.3">
      <c r="A4" s="11">
        <v>2</v>
      </c>
      <c r="B4" s="1" t="s">
        <v>37</v>
      </c>
      <c r="C4" s="2">
        <v>2022</v>
      </c>
      <c r="D4" s="1" t="s">
        <v>18</v>
      </c>
      <c r="E4" s="1" t="s">
        <v>35</v>
      </c>
      <c r="F4" s="3" t="s">
        <v>20</v>
      </c>
      <c r="G4" s="5"/>
      <c r="H4" s="4" t="s">
        <v>22</v>
      </c>
      <c r="I4" s="4" t="s">
        <v>22</v>
      </c>
      <c r="J4" s="3" t="s">
        <v>38</v>
      </c>
      <c r="K4" s="5" t="s">
        <v>24</v>
      </c>
      <c r="L4" s="2"/>
      <c r="M4" s="6">
        <v>280</v>
      </c>
      <c r="N4" s="6">
        <v>300</v>
      </c>
      <c r="O4" s="7">
        <v>0.12</v>
      </c>
      <c r="P4" s="8" t="s">
        <v>28</v>
      </c>
      <c r="Q4" s="9">
        <v>11</v>
      </c>
      <c r="R4" s="19">
        <v>7715</v>
      </c>
      <c r="S4" s="20">
        <v>1982573.3800000008</v>
      </c>
      <c r="T4" s="19">
        <v>5176.5</v>
      </c>
      <c r="U4" s="20">
        <v>1438210.4200000004</v>
      </c>
      <c r="V4" s="2">
        <v>2984.5</v>
      </c>
      <c r="W4" s="20">
        <v>830774.83000000007</v>
      </c>
      <c r="X4" s="2">
        <v>377</v>
      </c>
      <c r="Y4" s="20">
        <v>109516.42</v>
      </c>
      <c r="Z4" s="61">
        <f t="shared" ref="Z4:Z8" si="0">(U4-S4)/ABS(S4)</f>
        <v>-0.27457392775040701</v>
      </c>
      <c r="AA4" s="61">
        <f t="shared" ref="AA4:AA8" si="1">(W4-U4)/ABS(U4)</f>
        <v>-0.42235515857269351</v>
      </c>
      <c r="AC4" s="68"/>
      <c r="AD4" s="2" t="s">
        <v>143</v>
      </c>
      <c r="AE4" s="2">
        <v>60</v>
      </c>
      <c r="AF4" s="20">
        <v>21279.96</v>
      </c>
      <c r="AG4" s="2">
        <v>0</v>
      </c>
      <c r="AH4" s="20">
        <v>0</v>
      </c>
      <c r="AI4" s="2">
        <v>0</v>
      </c>
      <c r="AJ4" s="20">
        <v>0</v>
      </c>
      <c r="AK4" s="2"/>
      <c r="AL4" s="20"/>
    </row>
    <row r="5" spans="1:38" x14ac:dyDescent="0.3">
      <c r="A5" s="11">
        <v>3</v>
      </c>
      <c r="B5" s="1" t="s">
        <v>39</v>
      </c>
      <c r="C5" s="2">
        <v>2022</v>
      </c>
      <c r="D5" s="2" t="s">
        <v>18</v>
      </c>
      <c r="E5" s="2" t="s">
        <v>35</v>
      </c>
      <c r="F5" s="2" t="s">
        <v>40</v>
      </c>
      <c r="G5" s="5"/>
      <c r="H5" s="4" t="s">
        <v>22</v>
      </c>
      <c r="I5" s="4" t="s">
        <v>41</v>
      </c>
      <c r="J5" s="2"/>
      <c r="K5" s="5" t="s">
        <v>24</v>
      </c>
      <c r="L5" s="2"/>
      <c r="M5" s="14">
        <v>120</v>
      </c>
      <c r="N5" s="14">
        <v>115</v>
      </c>
      <c r="O5" s="12">
        <v>0.12</v>
      </c>
      <c r="P5" s="8" t="s">
        <v>42</v>
      </c>
      <c r="Q5" s="9">
        <v>19</v>
      </c>
      <c r="R5" s="19">
        <v>24745</v>
      </c>
      <c r="S5" s="20">
        <v>2681710.6099999985</v>
      </c>
      <c r="T5" s="19">
        <v>8811</v>
      </c>
      <c r="U5" s="20">
        <v>963225.89000000013</v>
      </c>
      <c r="V5" s="2">
        <v>8571</v>
      </c>
      <c r="W5" s="20">
        <v>1028363.5299999998</v>
      </c>
      <c r="X5" s="2">
        <v>1035</v>
      </c>
      <c r="Y5" s="20">
        <v>138509.4</v>
      </c>
      <c r="Z5" s="61">
        <f t="shared" si="0"/>
        <v>-0.64081661667438428</v>
      </c>
      <c r="AA5" s="61">
        <f t="shared" si="1"/>
        <v>6.7624469686959579E-2</v>
      </c>
      <c r="AC5" s="68"/>
      <c r="AD5" s="2" t="s">
        <v>145</v>
      </c>
      <c r="AE5" s="2">
        <v>110</v>
      </c>
      <c r="AF5" s="20">
        <v>32679.38</v>
      </c>
      <c r="AG5" s="2">
        <v>55</v>
      </c>
      <c r="AH5" s="20">
        <v>17289.64</v>
      </c>
      <c r="AI5" s="2">
        <v>10</v>
      </c>
      <c r="AJ5" s="20">
        <v>2944.6</v>
      </c>
      <c r="AK5" s="2"/>
      <c r="AL5" s="20"/>
    </row>
    <row r="6" spans="1:38" x14ac:dyDescent="0.3">
      <c r="A6" s="11">
        <v>4</v>
      </c>
      <c r="B6" s="1" t="s">
        <v>43</v>
      </c>
      <c r="C6" s="2">
        <v>2022</v>
      </c>
      <c r="D6" s="1" t="s">
        <v>18</v>
      </c>
      <c r="E6" s="1" t="s">
        <v>35</v>
      </c>
      <c r="F6" s="3" t="s">
        <v>20</v>
      </c>
      <c r="G6" s="5"/>
      <c r="H6" s="4" t="s">
        <v>22</v>
      </c>
      <c r="I6" s="4" t="s">
        <v>22</v>
      </c>
      <c r="J6" s="3" t="s">
        <v>44</v>
      </c>
      <c r="K6" s="5" t="s">
        <v>45</v>
      </c>
      <c r="L6" s="2"/>
      <c r="M6" s="6">
        <v>1600</v>
      </c>
      <c r="N6" s="6">
        <v>1644</v>
      </c>
      <c r="O6" s="7">
        <v>0.12</v>
      </c>
      <c r="P6" s="8" t="s">
        <v>33</v>
      </c>
      <c r="Q6" s="9">
        <v>42</v>
      </c>
      <c r="R6" s="19">
        <v>2719.2000000000003</v>
      </c>
      <c r="S6" s="20">
        <v>4238741.4300000016</v>
      </c>
      <c r="T6" s="19">
        <v>1495.6499999999999</v>
      </c>
      <c r="U6" s="20">
        <v>2330813.23</v>
      </c>
      <c r="V6" s="2">
        <v>2369.5</v>
      </c>
      <c r="W6" s="20">
        <v>3689752.8900000006</v>
      </c>
      <c r="X6" s="2">
        <v>287.5</v>
      </c>
      <c r="Y6" s="20">
        <v>446509.80000000005</v>
      </c>
      <c r="Z6" s="61">
        <f t="shared" si="0"/>
        <v>-0.45011667531699401</v>
      </c>
      <c r="AA6" s="61">
        <f t="shared" si="1"/>
        <v>0.58303241225381264</v>
      </c>
      <c r="AC6" s="68"/>
      <c r="AD6" s="2" t="s">
        <v>81</v>
      </c>
      <c r="AE6" s="2">
        <v>400</v>
      </c>
      <c r="AF6" s="20">
        <v>120554.75</v>
      </c>
      <c r="AG6" s="2">
        <v>0</v>
      </c>
      <c r="AH6" s="20">
        <v>0</v>
      </c>
      <c r="AI6" s="2">
        <v>0</v>
      </c>
      <c r="AJ6" s="20">
        <v>0</v>
      </c>
      <c r="AK6" s="2"/>
      <c r="AL6" s="20"/>
    </row>
    <row r="7" spans="1:38" x14ac:dyDescent="0.3">
      <c r="A7" s="11">
        <v>5</v>
      </c>
      <c r="B7" s="1" t="s">
        <v>46</v>
      </c>
      <c r="C7" s="2">
        <v>2022</v>
      </c>
      <c r="D7" s="2" t="s">
        <v>30</v>
      </c>
      <c r="E7" s="1" t="s">
        <v>35</v>
      </c>
      <c r="F7" s="3" t="s">
        <v>47</v>
      </c>
      <c r="G7" s="5"/>
      <c r="H7" s="4" t="s">
        <v>22</v>
      </c>
      <c r="I7" s="4" t="s">
        <v>48</v>
      </c>
      <c r="J7" s="3"/>
      <c r="K7" s="5" t="s">
        <v>45</v>
      </c>
      <c r="L7" s="2"/>
      <c r="M7" s="6">
        <v>130</v>
      </c>
      <c r="N7" s="6">
        <v>127.5</v>
      </c>
      <c r="O7" s="7">
        <v>0.12</v>
      </c>
      <c r="P7" s="8" t="s">
        <v>42</v>
      </c>
      <c r="Q7" s="9">
        <v>55</v>
      </c>
      <c r="R7" s="19">
        <v>22574</v>
      </c>
      <c r="S7" s="20">
        <v>2701175.5300000003</v>
      </c>
      <c r="T7" s="19">
        <v>24756</v>
      </c>
      <c r="U7" s="20">
        <v>2960171.3199999994</v>
      </c>
      <c r="V7" s="2">
        <v>15780</v>
      </c>
      <c r="W7" s="20">
        <v>1887252.0699999996</v>
      </c>
      <c r="X7" s="2">
        <v>2460</v>
      </c>
      <c r="Y7" s="20">
        <v>294054.39</v>
      </c>
      <c r="Z7" s="61">
        <f t="shared" si="0"/>
        <v>9.5882621149022143E-2</v>
      </c>
      <c r="AA7" s="61">
        <f t="shared" si="1"/>
        <v>-0.36245174147555759</v>
      </c>
      <c r="AC7" s="68"/>
      <c r="AD7" s="2" t="s">
        <v>146</v>
      </c>
      <c r="AE7" s="2">
        <v>30</v>
      </c>
      <c r="AF7" s="20">
        <v>9404.5400000000009</v>
      </c>
      <c r="AG7" s="2">
        <v>10</v>
      </c>
      <c r="AH7" s="20">
        <v>3040</v>
      </c>
      <c r="AI7" s="2">
        <v>0</v>
      </c>
      <c r="AJ7" s="20">
        <v>0</v>
      </c>
      <c r="AK7" s="2"/>
      <c r="AL7" s="20"/>
    </row>
    <row r="8" spans="1:38" x14ac:dyDescent="0.3">
      <c r="A8" s="66" t="s">
        <v>164</v>
      </c>
      <c r="B8" s="66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1">
        <f>SUM(R3:R7)</f>
        <v>58479.199999999997</v>
      </c>
      <c r="S8" s="45">
        <f t="shared" ref="S8:Y8" si="2">SUM(S3:S7)</f>
        <v>11827753.84</v>
      </c>
      <c r="T8" s="41">
        <f t="shared" si="2"/>
        <v>40349.15</v>
      </c>
      <c r="U8" s="45">
        <f t="shared" si="2"/>
        <v>7727428.0300000003</v>
      </c>
      <c r="V8" s="41">
        <f t="shared" si="2"/>
        <v>29723</v>
      </c>
      <c r="W8" s="45">
        <f t="shared" si="2"/>
        <v>7441443.9299999997</v>
      </c>
      <c r="X8" s="41">
        <f t="shared" si="2"/>
        <v>4209.5</v>
      </c>
      <c r="Y8" s="45">
        <f t="shared" si="2"/>
        <v>1003790.0100000001</v>
      </c>
      <c r="Z8" s="62">
        <f t="shared" si="0"/>
        <v>-0.3466698635655745</v>
      </c>
      <c r="AA8" s="62">
        <f t="shared" si="1"/>
        <v>-3.7008963252680147E-2</v>
      </c>
      <c r="AC8" s="68"/>
      <c r="AD8" s="2" t="s">
        <v>147</v>
      </c>
      <c r="AE8" s="2">
        <v>1</v>
      </c>
      <c r="AF8" s="20">
        <v>304.01</v>
      </c>
      <c r="AG8" s="2">
        <v>5</v>
      </c>
      <c r="AH8" s="20">
        <v>1472.5</v>
      </c>
      <c r="AI8" s="2">
        <v>8</v>
      </c>
      <c r="AJ8" s="20">
        <v>2356.0100000000002</v>
      </c>
      <c r="AK8" s="2"/>
      <c r="AL8" s="20"/>
    </row>
    <row r="9" spans="1:38" x14ac:dyDescent="0.3">
      <c r="AC9" s="68"/>
      <c r="AD9" s="2" t="s">
        <v>82</v>
      </c>
      <c r="AE9" s="2">
        <v>50</v>
      </c>
      <c r="AF9" s="20">
        <v>17100.21</v>
      </c>
      <c r="AG9" s="2">
        <v>30</v>
      </c>
      <c r="AH9" s="20">
        <v>10260.030000000001</v>
      </c>
      <c r="AI9" s="2">
        <v>0</v>
      </c>
      <c r="AJ9" s="20">
        <v>0</v>
      </c>
      <c r="AK9" s="2"/>
      <c r="AL9" s="20"/>
    </row>
    <row r="10" spans="1:38" x14ac:dyDescent="0.3">
      <c r="AC10" s="68"/>
      <c r="AD10" s="2" t="s">
        <v>144</v>
      </c>
      <c r="AE10" s="2"/>
      <c r="AF10" s="20"/>
      <c r="AG10" s="2"/>
      <c r="AH10" s="20"/>
      <c r="AI10" s="2"/>
      <c r="AJ10" s="20"/>
      <c r="AK10" s="2">
        <v>50</v>
      </c>
      <c r="AL10" s="20">
        <v>15200</v>
      </c>
    </row>
    <row r="11" spans="1:38" x14ac:dyDescent="0.3">
      <c r="AC11" s="68"/>
      <c r="AD11" s="2" t="s">
        <v>150</v>
      </c>
      <c r="AE11" s="2">
        <v>15</v>
      </c>
      <c r="AF11" s="20">
        <v>4465.17</v>
      </c>
      <c r="AG11" s="2">
        <v>0</v>
      </c>
      <c r="AH11" s="20">
        <v>0</v>
      </c>
      <c r="AI11" s="2">
        <v>0</v>
      </c>
      <c r="AJ11" s="20">
        <v>0</v>
      </c>
      <c r="AK11" s="2"/>
      <c r="AL11" s="20"/>
    </row>
    <row r="12" spans="1:38" x14ac:dyDescent="0.3">
      <c r="AC12" s="66" t="s">
        <v>96</v>
      </c>
      <c r="AD12" s="66"/>
      <c r="AE12" s="42">
        <f>SUM(AE2:AE11)</f>
        <v>726</v>
      </c>
      <c r="AF12" s="45">
        <f t="shared" ref="AF12:AL12" si="3">SUM(AF2:AF11)</f>
        <v>223552.89000000004</v>
      </c>
      <c r="AG12" s="42">
        <f t="shared" si="3"/>
        <v>110</v>
      </c>
      <c r="AH12" s="45">
        <f t="shared" si="3"/>
        <v>35007.17</v>
      </c>
      <c r="AI12" s="42">
        <f t="shared" si="3"/>
        <v>18</v>
      </c>
      <c r="AJ12" s="45">
        <f t="shared" si="3"/>
        <v>5300.6100000000006</v>
      </c>
      <c r="AK12" s="42">
        <f t="shared" si="3"/>
        <v>50</v>
      </c>
      <c r="AL12" s="45">
        <f t="shared" si="3"/>
        <v>15200</v>
      </c>
    </row>
    <row r="13" spans="1:38" x14ac:dyDescent="0.3">
      <c r="AC13" s="68" t="s">
        <v>97</v>
      </c>
      <c r="AD13" s="2" t="s">
        <v>140</v>
      </c>
      <c r="AE13" s="2">
        <v>390</v>
      </c>
      <c r="AF13" s="20">
        <v>100130.14000000001</v>
      </c>
      <c r="AG13" s="2">
        <v>75</v>
      </c>
      <c r="AH13" s="20">
        <v>21280.400000000001</v>
      </c>
      <c r="AI13" s="2">
        <v>80</v>
      </c>
      <c r="AJ13" s="20">
        <v>22799.600000000002</v>
      </c>
      <c r="AK13" s="2"/>
      <c r="AL13" s="20"/>
    </row>
    <row r="14" spans="1:38" x14ac:dyDescent="0.3">
      <c r="AC14" s="68"/>
      <c r="AD14" s="2" t="s">
        <v>144</v>
      </c>
      <c r="AE14" s="2">
        <v>50</v>
      </c>
      <c r="AF14" s="20">
        <v>12729.869999999999</v>
      </c>
      <c r="AG14" s="2">
        <v>430</v>
      </c>
      <c r="AH14" s="20">
        <v>117597.63</v>
      </c>
      <c r="AI14" s="2">
        <v>345</v>
      </c>
      <c r="AJ14" s="20">
        <v>95188.77</v>
      </c>
      <c r="AK14" s="2"/>
      <c r="AL14" s="20"/>
    </row>
    <row r="15" spans="1:38" x14ac:dyDescent="0.3">
      <c r="AC15" s="68"/>
      <c r="AD15" s="2" t="s">
        <v>145</v>
      </c>
      <c r="AE15" s="2">
        <v>1290</v>
      </c>
      <c r="AF15" s="20">
        <v>326607.05</v>
      </c>
      <c r="AG15" s="2">
        <v>1099.5</v>
      </c>
      <c r="AH15" s="20">
        <v>305177.12999999995</v>
      </c>
      <c r="AI15" s="2">
        <v>485</v>
      </c>
      <c r="AJ15" s="20">
        <v>133568.75</v>
      </c>
      <c r="AK15" s="2">
        <v>25</v>
      </c>
      <c r="AL15" s="20">
        <v>7315</v>
      </c>
    </row>
    <row r="16" spans="1:38" x14ac:dyDescent="0.3">
      <c r="AC16" s="68"/>
      <c r="AD16" s="2" t="s">
        <v>81</v>
      </c>
      <c r="AE16" s="2">
        <v>920</v>
      </c>
      <c r="AF16" s="20">
        <v>236929.08000000002</v>
      </c>
      <c r="AG16" s="2">
        <v>800</v>
      </c>
      <c r="AH16" s="20">
        <v>223438.19</v>
      </c>
      <c r="AI16" s="2">
        <v>350</v>
      </c>
      <c r="AJ16" s="20">
        <v>99557.85</v>
      </c>
      <c r="AK16" s="2"/>
      <c r="AL16" s="20"/>
    </row>
    <row r="17" spans="19:38" x14ac:dyDescent="0.3">
      <c r="AC17" s="68"/>
      <c r="AD17" s="2" t="s">
        <v>146</v>
      </c>
      <c r="AE17" s="2">
        <v>2900</v>
      </c>
      <c r="AF17" s="20">
        <v>736565.86</v>
      </c>
      <c r="AG17" s="2">
        <v>675</v>
      </c>
      <c r="AH17" s="20">
        <v>185592.37</v>
      </c>
      <c r="AI17" s="2">
        <v>205</v>
      </c>
      <c r="AJ17" s="20">
        <v>56649.149999999994</v>
      </c>
      <c r="AK17" s="2">
        <v>60</v>
      </c>
      <c r="AL17" s="20">
        <v>17100</v>
      </c>
    </row>
    <row r="18" spans="19:38" x14ac:dyDescent="0.3">
      <c r="AC18" s="68"/>
      <c r="AD18" s="2" t="s">
        <v>151</v>
      </c>
      <c r="AE18" s="2">
        <v>0</v>
      </c>
      <c r="AF18" s="20">
        <v>0</v>
      </c>
      <c r="AG18" s="2">
        <v>0</v>
      </c>
      <c r="AH18" s="20">
        <v>0</v>
      </c>
      <c r="AI18" s="2">
        <v>0.5</v>
      </c>
      <c r="AJ18" s="20">
        <v>142.5</v>
      </c>
      <c r="AK18" s="2"/>
      <c r="AL18" s="20"/>
    </row>
    <row r="19" spans="19:38" x14ac:dyDescent="0.3">
      <c r="AC19" s="68"/>
      <c r="AD19" s="2" t="s">
        <v>147</v>
      </c>
      <c r="AE19" s="2">
        <v>1</v>
      </c>
      <c r="AF19" s="20">
        <v>247</v>
      </c>
      <c r="AG19" s="2">
        <v>2</v>
      </c>
      <c r="AH19" s="20">
        <v>531.98</v>
      </c>
      <c r="AI19" s="2">
        <v>0</v>
      </c>
      <c r="AJ19" s="20">
        <v>0</v>
      </c>
      <c r="AK19" s="2">
        <v>2</v>
      </c>
      <c r="AL19" s="20">
        <v>551</v>
      </c>
    </row>
    <row r="20" spans="19:38" x14ac:dyDescent="0.3">
      <c r="AC20" s="68"/>
      <c r="AD20" s="2" t="s">
        <v>148</v>
      </c>
      <c r="AE20" s="2">
        <v>1795</v>
      </c>
      <c r="AF20" s="20">
        <v>475281.07000000007</v>
      </c>
      <c r="AG20" s="2">
        <v>1095</v>
      </c>
      <c r="AH20" s="20">
        <v>311217.84999999998</v>
      </c>
      <c r="AI20" s="2">
        <v>1039</v>
      </c>
      <c r="AJ20" s="20">
        <v>292148.89</v>
      </c>
      <c r="AK20" s="2">
        <v>280</v>
      </c>
      <c r="AL20" s="20">
        <v>81605.399999999994</v>
      </c>
    </row>
    <row r="21" spans="19:38" x14ac:dyDescent="0.3">
      <c r="AC21" s="68"/>
      <c r="AD21" s="2" t="s">
        <v>82</v>
      </c>
      <c r="AE21" s="2">
        <v>50</v>
      </c>
      <c r="AF21" s="20">
        <v>13489.2</v>
      </c>
      <c r="AG21" s="2">
        <v>0</v>
      </c>
      <c r="AH21" s="20">
        <v>0</v>
      </c>
      <c r="AI21" s="2">
        <v>0</v>
      </c>
      <c r="AJ21" s="20">
        <v>0</v>
      </c>
      <c r="AK21" s="2"/>
      <c r="AL21" s="20"/>
    </row>
    <row r="22" spans="19:38" x14ac:dyDescent="0.3">
      <c r="AC22" s="68"/>
      <c r="AD22" s="2" t="s">
        <v>150</v>
      </c>
      <c r="AE22" s="2">
        <v>319</v>
      </c>
      <c r="AF22" s="20">
        <v>80594.109999999986</v>
      </c>
      <c r="AG22" s="2">
        <v>1000</v>
      </c>
      <c r="AH22" s="20">
        <v>273374.87</v>
      </c>
      <c r="AI22" s="2">
        <v>480</v>
      </c>
      <c r="AJ22" s="20">
        <v>130719.32</v>
      </c>
      <c r="AK22" s="2">
        <v>10</v>
      </c>
      <c r="AL22" s="20">
        <v>2945.02</v>
      </c>
    </row>
    <row r="23" spans="19:38" x14ac:dyDescent="0.3">
      <c r="AC23" s="66" t="s">
        <v>98</v>
      </c>
      <c r="AD23" s="66"/>
      <c r="AE23" s="42">
        <f>SUM(AE13:AE22)</f>
        <v>7715</v>
      </c>
      <c r="AF23" s="45">
        <f t="shared" ref="AF23:AL23" si="4">SUM(AF13:AF22)</f>
        <v>1982573.38</v>
      </c>
      <c r="AG23" s="42">
        <f t="shared" si="4"/>
        <v>5176.5</v>
      </c>
      <c r="AH23" s="45">
        <f t="shared" si="4"/>
        <v>1438210.42</v>
      </c>
      <c r="AI23" s="42">
        <f t="shared" si="4"/>
        <v>2984.5</v>
      </c>
      <c r="AJ23" s="45">
        <f t="shared" si="4"/>
        <v>830774.83000000007</v>
      </c>
      <c r="AK23" s="42">
        <f t="shared" si="4"/>
        <v>377</v>
      </c>
      <c r="AL23" s="45">
        <f t="shared" si="4"/>
        <v>109516.42</v>
      </c>
    </row>
    <row r="24" spans="19:38" x14ac:dyDescent="0.3">
      <c r="AC24" s="68" t="s">
        <v>99</v>
      </c>
      <c r="AD24" s="2" t="s">
        <v>140</v>
      </c>
      <c r="AE24" s="2">
        <v>1605</v>
      </c>
      <c r="AF24" s="20">
        <v>180689.65</v>
      </c>
      <c r="AG24" s="2">
        <v>75</v>
      </c>
      <c r="AH24" s="20">
        <v>8549.9500000000007</v>
      </c>
      <c r="AI24" s="2">
        <v>25</v>
      </c>
      <c r="AJ24" s="20">
        <v>3087.65</v>
      </c>
      <c r="AK24" s="2"/>
      <c r="AL24" s="20"/>
    </row>
    <row r="25" spans="19:38" x14ac:dyDescent="0.3">
      <c r="AC25" s="68"/>
      <c r="AD25" s="2" t="s">
        <v>156</v>
      </c>
      <c r="AE25" s="2">
        <v>100</v>
      </c>
      <c r="AF25" s="20">
        <v>11400</v>
      </c>
      <c r="AG25" s="2">
        <v>0</v>
      </c>
      <c r="AH25" s="20">
        <v>0</v>
      </c>
      <c r="AI25" s="2">
        <v>0</v>
      </c>
      <c r="AJ25" s="20">
        <v>0</v>
      </c>
      <c r="AK25" s="2"/>
      <c r="AL25" s="20"/>
    </row>
    <row r="26" spans="19:38" x14ac:dyDescent="0.3">
      <c r="AC26" s="68"/>
      <c r="AD26" s="2" t="s">
        <v>141</v>
      </c>
      <c r="AE26" s="2">
        <v>1040</v>
      </c>
      <c r="AF26" s="20">
        <v>118558.29000000002</v>
      </c>
      <c r="AG26" s="2">
        <v>60</v>
      </c>
      <c r="AH26" s="20">
        <v>6959.8</v>
      </c>
      <c r="AI26" s="2">
        <v>0</v>
      </c>
      <c r="AJ26" s="20">
        <v>0</v>
      </c>
      <c r="AK26" s="2"/>
      <c r="AL26" s="20"/>
    </row>
    <row r="27" spans="19:38" x14ac:dyDescent="0.3">
      <c r="AC27" s="68"/>
      <c r="AD27" s="2" t="s">
        <v>142</v>
      </c>
      <c r="AE27" s="2">
        <v>0</v>
      </c>
      <c r="AF27" s="20">
        <v>0</v>
      </c>
      <c r="AG27" s="2">
        <v>0</v>
      </c>
      <c r="AH27" s="20">
        <v>0</v>
      </c>
      <c r="AI27" s="2">
        <v>450</v>
      </c>
      <c r="AJ27" s="20">
        <v>54150</v>
      </c>
      <c r="AK27" s="2"/>
      <c r="AL27" s="20"/>
    </row>
    <row r="28" spans="19:38" x14ac:dyDescent="0.3">
      <c r="S28" s="65" t="s">
        <v>179</v>
      </c>
      <c r="AC28" s="68"/>
      <c r="AD28" s="2" t="s">
        <v>157</v>
      </c>
      <c r="AE28" s="2">
        <v>200</v>
      </c>
      <c r="AF28" s="20">
        <v>22800</v>
      </c>
      <c r="AG28" s="2">
        <v>0</v>
      </c>
      <c r="AH28" s="20">
        <v>0</v>
      </c>
      <c r="AI28" s="2">
        <v>0</v>
      </c>
      <c r="AJ28" s="20">
        <v>0</v>
      </c>
      <c r="AK28" s="2"/>
      <c r="AL28" s="20"/>
    </row>
    <row r="29" spans="19:38" x14ac:dyDescent="0.3">
      <c r="AC29" s="68"/>
      <c r="AD29" s="2" t="s">
        <v>153</v>
      </c>
      <c r="AE29" s="2">
        <v>0</v>
      </c>
      <c r="AF29" s="20">
        <v>0</v>
      </c>
      <c r="AG29" s="2">
        <v>0</v>
      </c>
      <c r="AH29" s="20">
        <v>0</v>
      </c>
      <c r="AI29" s="2">
        <v>60</v>
      </c>
      <c r="AJ29" s="20">
        <v>6840.2</v>
      </c>
      <c r="AK29" s="2"/>
      <c r="AL29" s="20"/>
    </row>
    <row r="30" spans="19:38" x14ac:dyDescent="0.3">
      <c r="AC30" s="68"/>
      <c r="AD30" s="2" t="s">
        <v>143</v>
      </c>
      <c r="AE30" s="2">
        <v>5060</v>
      </c>
      <c r="AF30" s="20">
        <v>536085.31999999995</v>
      </c>
      <c r="AG30" s="2">
        <v>925</v>
      </c>
      <c r="AH30" s="20">
        <v>101792.37000000001</v>
      </c>
      <c r="AI30" s="2">
        <v>4310</v>
      </c>
      <c r="AJ30" s="20">
        <v>517465.11</v>
      </c>
      <c r="AK30" s="2">
        <v>1020</v>
      </c>
      <c r="AL30" s="20">
        <v>135659.93</v>
      </c>
    </row>
    <row r="31" spans="19:38" x14ac:dyDescent="0.3">
      <c r="AC31" s="68"/>
      <c r="AD31" s="2" t="s">
        <v>144</v>
      </c>
      <c r="AE31" s="2">
        <v>90</v>
      </c>
      <c r="AF31" s="20">
        <v>9975.0499999999993</v>
      </c>
      <c r="AG31" s="2">
        <v>225</v>
      </c>
      <c r="AH31" s="20">
        <v>24225.05</v>
      </c>
      <c r="AI31" s="2">
        <v>30</v>
      </c>
      <c r="AJ31" s="20">
        <v>3419.6</v>
      </c>
      <c r="AK31" s="2"/>
      <c r="AL31" s="20"/>
    </row>
    <row r="32" spans="19:38" x14ac:dyDescent="0.3">
      <c r="AC32" s="68"/>
      <c r="AD32" s="2" t="s">
        <v>152</v>
      </c>
      <c r="AE32" s="2">
        <v>545</v>
      </c>
      <c r="AF32" s="20">
        <v>59280.71</v>
      </c>
      <c r="AG32" s="2">
        <v>0</v>
      </c>
      <c r="AH32" s="20">
        <v>0</v>
      </c>
      <c r="AI32" s="2">
        <v>330</v>
      </c>
      <c r="AJ32" s="20">
        <v>40185.159999999996</v>
      </c>
      <c r="AK32" s="2"/>
      <c r="AL32" s="20"/>
    </row>
    <row r="33" spans="29:38" x14ac:dyDescent="0.3">
      <c r="AC33" s="68"/>
      <c r="AD33" s="2" t="s">
        <v>145</v>
      </c>
      <c r="AE33" s="2">
        <v>170</v>
      </c>
      <c r="AF33" s="20">
        <v>17955.400000000001</v>
      </c>
      <c r="AG33" s="2">
        <v>350</v>
      </c>
      <c r="AH33" s="20">
        <v>38474.720000000001</v>
      </c>
      <c r="AI33" s="2">
        <v>0</v>
      </c>
      <c r="AJ33" s="20">
        <v>0</v>
      </c>
      <c r="AK33" s="2"/>
      <c r="AL33" s="20"/>
    </row>
    <row r="34" spans="29:38" x14ac:dyDescent="0.3">
      <c r="AC34" s="68"/>
      <c r="AD34" s="2" t="s">
        <v>81</v>
      </c>
      <c r="AE34" s="2">
        <v>1270</v>
      </c>
      <c r="AF34" s="20">
        <v>135375.46999999997</v>
      </c>
      <c r="AG34" s="2">
        <v>260</v>
      </c>
      <c r="AH34" s="20">
        <v>29069.97</v>
      </c>
      <c r="AI34" s="2">
        <v>679</v>
      </c>
      <c r="AJ34" s="20">
        <v>81813.01999999999</v>
      </c>
      <c r="AK34" s="2"/>
      <c r="AL34" s="20"/>
    </row>
    <row r="35" spans="29:38" x14ac:dyDescent="0.3">
      <c r="AC35" s="68"/>
      <c r="AD35" s="2" t="s">
        <v>146</v>
      </c>
      <c r="AE35" s="2">
        <v>3965</v>
      </c>
      <c r="AF35" s="20">
        <v>426929.30999999994</v>
      </c>
      <c r="AG35" s="2">
        <v>585</v>
      </c>
      <c r="AH35" s="20">
        <v>62335.61</v>
      </c>
      <c r="AI35" s="2">
        <v>130</v>
      </c>
      <c r="AJ35" s="20">
        <v>15793.97</v>
      </c>
      <c r="AK35" s="2">
        <v>-40</v>
      </c>
      <c r="AL35" s="20">
        <v>-4940.2</v>
      </c>
    </row>
    <row r="36" spans="29:38" x14ac:dyDescent="0.3">
      <c r="AC36" s="68"/>
      <c r="AD36" s="2" t="s">
        <v>151</v>
      </c>
      <c r="AE36" s="2">
        <v>0</v>
      </c>
      <c r="AF36" s="20">
        <v>0</v>
      </c>
      <c r="AG36" s="2">
        <v>6</v>
      </c>
      <c r="AH36" s="20">
        <v>684.04</v>
      </c>
      <c r="AI36" s="2">
        <v>4</v>
      </c>
      <c r="AJ36" s="20">
        <v>494.01</v>
      </c>
      <c r="AK36" s="2"/>
      <c r="AL36" s="20"/>
    </row>
    <row r="37" spans="29:38" x14ac:dyDescent="0.3">
      <c r="AC37" s="68"/>
      <c r="AD37" s="2" t="s">
        <v>147</v>
      </c>
      <c r="AE37" s="2"/>
      <c r="AF37" s="20"/>
      <c r="AG37" s="2"/>
      <c r="AH37" s="20"/>
      <c r="AI37" s="2"/>
      <c r="AJ37" s="20"/>
      <c r="AK37" s="2">
        <v>5</v>
      </c>
      <c r="AL37" s="20">
        <v>664.74</v>
      </c>
    </row>
    <row r="38" spans="29:38" x14ac:dyDescent="0.3">
      <c r="AC38" s="68"/>
      <c r="AD38" s="2" t="s">
        <v>148</v>
      </c>
      <c r="AE38" s="2">
        <v>2135</v>
      </c>
      <c r="AF38" s="20">
        <v>230658.97999999998</v>
      </c>
      <c r="AG38" s="2">
        <v>115</v>
      </c>
      <c r="AH38" s="20">
        <v>12254.66</v>
      </c>
      <c r="AI38" s="2">
        <v>30</v>
      </c>
      <c r="AJ38" s="20">
        <v>3419.6</v>
      </c>
      <c r="AK38" s="2">
        <v>25</v>
      </c>
      <c r="AL38" s="20">
        <v>3562.5</v>
      </c>
    </row>
    <row r="39" spans="29:38" x14ac:dyDescent="0.3">
      <c r="AC39" s="68"/>
      <c r="AD39" s="2" t="s">
        <v>82</v>
      </c>
      <c r="AE39" s="2">
        <v>8000</v>
      </c>
      <c r="AF39" s="20">
        <v>867534.25999999989</v>
      </c>
      <c r="AG39" s="2">
        <v>6000</v>
      </c>
      <c r="AH39" s="20">
        <v>655496.99999999988</v>
      </c>
      <c r="AI39" s="2">
        <v>2448</v>
      </c>
      <c r="AJ39" s="20">
        <v>292432.7099999999</v>
      </c>
      <c r="AK39" s="2">
        <v>25</v>
      </c>
      <c r="AL39" s="20">
        <v>3562.43</v>
      </c>
    </row>
    <row r="40" spans="29:38" x14ac:dyDescent="0.3">
      <c r="AC40" s="68"/>
      <c r="AD40" s="2" t="s">
        <v>150</v>
      </c>
      <c r="AE40" s="2">
        <v>565</v>
      </c>
      <c r="AF40" s="20">
        <v>64468.170000000006</v>
      </c>
      <c r="AG40" s="2">
        <v>210</v>
      </c>
      <c r="AH40" s="20">
        <v>23382.720000000001</v>
      </c>
      <c r="AI40" s="2">
        <v>75</v>
      </c>
      <c r="AJ40" s="20">
        <v>9262.5</v>
      </c>
      <c r="AK40" s="2"/>
      <c r="AL40" s="20"/>
    </row>
    <row r="41" spans="29:38" x14ac:dyDescent="0.3">
      <c r="AC41" s="66" t="s">
        <v>100</v>
      </c>
      <c r="AD41" s="66"/>
      <c r="AE41" s="42">
        <f>SUM(AE24:AE40)</f>
        <v>24745</v>
      </c>
      <c r="AF41" s="45">
        <f t="shared" ref="AF41:AL41" si="5">SUM(AF24:AF40)</f>
        <v>2681710.61</v>
      </c>
      <c r="AG41" s="42">
        <f t="shared" si="5"/>
        <v>8811</v>
      </c>
      <c r="AH41" s="45">
        <f t="shared" si="5"/>
        <v>963225.8899999999</v>
      </c>
      <c r="AI41" s="42">
        <f t="shared" si="5"/>
        <v>8571</v>
      </c>
      <c r="AJ41" s="45">
        <f t="shared" si="5"/>
        <v>1028363.5299999998</v>
      </c>
      <c r="AK41" s="42">
        <f t="shared" si="5"/>
        <v>1035</v>
      </c>
      <c r="AL41" s="45">
        <f t="shared" si="5"/>
        <v>138509.4</v>
      </c>
    </row>
    <row r="42" spans="29:38" x14ac:dyDescent="0.3">
      <c r="AC42" s="68" t="s">
        <v>101</v>
      </c>
      <c r="AD42" s="2" t="s">
        <v>140</v>
      </c>
      <c r="AE42" s="2">
        <v>0</v>
      </c>
      <c r="AF42" s="20">
        <v>0</v>
      </c>
      <c r="AG42" s="2">
        <v>80</v>
      </c>
      <c r="AH42" s="20">
        <v>123688.73999999999</v>
      </c>
      <c r="AI42" s="2">
        <v>80</v>
      </c>
      <c r="AJ42" s="20">
        <v>123879.03</v>
      </c>
      <c r="AK42" s="2">
        <v>20</v>
      </c>
      <c r="AL42" s="20">
        <v>30969.759999999998</v>
      </c>
    </row>
    <row r="43" spans="29:38" x14ac:dyDescent="0.3">
      <c r="AC43" s="68"/>
      <c r="AD43" s="2" t="s">
        <v>156</v>
      </c>
      <c r="AE43" s="2">
        <v>0</v>
      </c>
      <c r="AF43" s="20">
        <v>0</v>
      </c>
      <c r="AG43" s="2">
        <v>0</v>
      </c>
      <c r="AH43" s="20">
        <v>0</v>
      </c>
      <c r="AI43" s="2">
        <v>42.699999999999996</v>
      </c>
      <c r="AJ43" s="20">
        <v>67250.8</v>
      </c>
      <c r="AK43" s="2">
        <v>6.6999999999999975</v>
      </c>
      <c r="AL43" s="20">
        <v>10502.550000000001</v>
      </c>
    </row>
    <row r="44" spans="29:38" x14ac:dyDescent="0.3">
      <c r="AC44" s="68"/>
      <c r="AD44" s="2" t="s">
        <v>141</v>
      </c>
      <c r="AE44" s="2">
        <v>5</v>
      </c>
      <c r="AF44" s="20">
        <v>7837.5</v>
      </c>
      <c r="AG44" s="2">
        <v>15</v>
      </c>
      <c r="AH44" s="20">
        <v>23417.9</v>
      </c>
      <c r="AI44" s="2">
        <v>1.7999999999999998</v>
      </c>
      <c r="AJ44" s="20">
        <v>2821.62</v>
      </c>
      <c r="AK44" s="2">
        <v>3.3</v>
      </c>
      <c r="AL44" s="20">
        <v>5173.0600000000004</v>
      </c>
    </row>
    <row r="45" spans="29:38" x14ac:dyDescent="0.3">
      <c r="AC45" s="68"/>
      <c r="AD45" s="2" t="s">
        <v>158</v>
      </c>
      <c r="AE45" s="2">
        <v>0</v>
      </c>
      <c r="AF45" s="20">
        <v>0</v>
      </c>
      <c r="AG45" s="2">
        <v>0</v>
      </c>
      <c r="AH45" s="20">
        <v>0</v>
      </c>
      <c r="AI45" s="2">
        <v>10</v>
      </c>
      <c r="AJ45" s="20">
        <v>15580.4</v>
      </c>
      <c r="AK45" s="2"/>
      <c r="AL45" s="20"/>
    </row>
    <row r="46" spans="29:38" x14ac:dyDescent="0.3">
      <c r="AC46" s="68"/>
      <c r="AD46" s="2" t="s">
        <v>157</v>
      </c>
      <c r="AE46" s="2">
        <v>5</v>
      </c>
      <c r="AF46" s="20">
        <v>7837.41</v>
      </c>
      <c r="AG46" s="2">
        <v>15</v>
      </c>
      <c r="AH46" s="20">
        <v>23417.9</v>
      </c>
      <c r="AI46" s="2">
        <v>10</v>
      </c>
      <c r="AJ46" s="20">
        <v>15579.83</v>
      </c>
      <c r="AK46" s="2">
        <v>20</v>
      </c>
      <c r="AL46" s="20">
        <v>31160.400000000001</v>
      </c>
    </row>
    <row r="47" spans="29:38" x14ac:dyDescent="0.3">
      <c r="AC47" s="68"/>
      <c r="AD47" s="2" t="s">
        <v>159</v>
      </c>
      <c r="AE47" s="2">
        <v>0</v>
      </c>
      <c r="AF47" s="20">
        <v>0</v>
      </c>
      <c r="AG47" s="2">
        <v>0</v>
      </c>
      <c r="AH47" s="20">
        <v>0</v>
      </c>
      <c r="AI47" s="2">
        <v>15</v>
      </c>
      <c r="AJ47" s="20">
        <v>23512.44</v>
      </c>
      <c r="AK47" s="2"/>
      <c r="AL47" s="20"/>
    </row>
    <row r="48" spans="29:38" x14ac:dyDescent="0.3">
      <c r="AC48" s="68"/>
      <c r="AD48" s="2" t="s">
        <v>144</v>
      </c>
      <c r="AE48" s="2">
        <v>20</v>
      </c>
      <c r="AF48" s="20">
        <v>31255.09</v>
      </c>
      <c r="AG48" s="2">
        <v>70</v>
      </c>
      <c r="AH48" s="20">
        <v>110266.05</v>
      </c>
      <c r="AI48" s="2">
        <v>75</v>
      </c>
      <c r="AJ48" s="20">
        <v>117181.58999999998</v>
      </c>
      <c r="AK48" s="2">
        <v>20</v>
      </c>
      <c r="AL48" s="20">
        <v>31255.21</v>
      </c>
    </row>
    <row r="49" spans="29:38" x14ac:dyDescent="0.3">
      <c r="AC49" s="68"/>
      <c r="AD49" s="2" t="s">
        <v>152</v>
      </c>
      <c r="AE49" s="2">
        <v>20</v>
      </c>
      <c r="AF49" s="20">
        <v>31349.94</v>
      </c>
      <c r="AG49" s="2">
        <v>15.1</v>
      </c>
      <c r="AH49" s="20">
        <v>23669.55</v>
      </c>
      <c r="AI49" s="2">
        <v>95</v>
      </c>
      <c r="AJ49" s="20">
        <v>148912.88</v>
      </c>
      <c r="AK49" s="2">
        <v>50</v>
      </c>
      <c r="AL49" s="20">
        <v>78375</v>
      </c>
    </row>
    <row r="50" spans="29:38" x14ac:dyDescent="0.3">
      <c r="AC50" s="68"/>
      <c r="AD50" s="2" t="s">
        <v>145</v>
      </c>
      <c r="AE50" s="2">
        <v>150</v>
      </c>
      <c r="AF50" s="20">
        <v>233607.86999999997</v>
      </c>
      <c r="AG50" s="2">
        <v>58.4</v>
      </c>
      <c r="AH50" s="20">
        <v>90235.07</v>
      </c>
      <c r="AI50" s="2">
        <v>110</v>
      </c>
      <c r="AJ50" s="20">
        <v>170526.05</v>
      </c>
      <c r="AK50" s="2">
        <v>15</v>
      </c>
      <c r="AL50" s="20">
        <v>23512.5</v>
      </c>
    </row>
    <row r="51" spans="29:38" x14ac:dyDescent="0.3">
      <c r="AC51" s="68"/>
      <c r="AD51" s="2" t="s">
        <v>81</v>
      </c>
      <c r="AE51" s="2">
        <v>307.5</v>
      </c>
      <c r="AF51" s="20">
        <v>479372.25000000006</v>
      </c>
      <c r="AG51" s="2">
        <v>70</v>
      </c>
      <c r="AH51" s="20">
        <v>109250.88</v>
      </c>
      <c r="AI51" s="2">
        <v>90.2</v>
      </c>
      <c r="AJ51" s="20">
        <v>140901.30999999997</v>
      </c>
      <c r="AK51" s="2">
        <v>60</v>
      </c>
      <c r="AL51" s="20">
        <v>93576</v>
      </c>
    </row>
    <row r="52" spans="29:38" x14ac:dyDescent="0.3">
      <c r="AC52" s="68"/>
      <c r="AD52" s="2" t="s">
        <v>146</v>
      </c>
      <c r="AE52" s="2">
        <v>471.7</v>
      </c>
      <c r="AF52" s="20">
        <v>736456.00000000023</v>
      </c>
      <c r="AG52" s="2">
        <v>404.2</v>
      </c>
      <c r="AH52" s="20">
        <v>630454.87000000011</v>
      </c>
      <c r="AI52" s="2">
        <v>791.8</v>
      </c>
      <c r="AJ52" s="20">
        <v>1232433.49</v>
      </c>
      <c r="AK52" s="2">
        <v>9.9</v>
      </c>
      <c r="AL52" s="20">
        <v>15423.22</v>
      </c>
    </row>
    <row r="53" spans="29:38" x14ac:dyDescent="0.3">
      <c r="AC53" s="68"/>
      <c r="AD53" s="2" t="s">
        <v>160</v>
      </c>
      <c r="AE53" s="2">
        <v>0</v>
      </c>
      <c r="AF53" s="20">
        <v>0</v>
      </c>
      <c r="AG53" s="2">
        <v>0</v>
      </c>
      <c r="AH53" s="20">
        <v>0</v>
      </c>
      <c r="AI53" s="2">
        <v>55</v>
      </c>
      <c r="AJ53" s="20">
        <v>86212.35</v>
      </c>
      <c r="AK53" s="2">
        <v>10</v>
      </c>
      <c r="AL53" s="20">
        <v>15675.15</v>
      </c>
    </row>
    <row r="54" spans="29:38" x14ac:dyDescent="0.3">
      <c r="AC54" s="68"/>
      <c r="AD54" s="2" t="s">
        <v>151</v>
      </c>
      <c r="AE54" s="2">
        <v>52.5</v>
      </c>
      <c r="AF54" s="20">
        <v>82293.740000000005</v>
      </c>
      <c r="AG54" s="2">
        <v>37.699999999999996</v>
      </c>
      <c r="AH54" s="20">
        <v>59142.29</v>
      </c>
      <c r="AI54" s="2">
        <v>65.099999999999994</v>
      </c>
      <c r="AJ54" s="20">
        <v>101920.7</v>
      </c>
      <c r="AK54" s="2"/>
      <c r="AL54" s="20"/>
    </row>
    <row r="55" spans="29:38" x14ac:dyDescent="0.3">
      <c r="AC55" s="68"/>
      <c r="AD55" s="2" t="s">
        <v>147</v>
      </c>
      <c r="AE55" s="2">
        <v>73.900000000000006</v>
      </c>
      <c r="AF55" s="20">
        <v>115077.5</v>
      </c>
      <c r="AG55" s="2">
        <v>17</v>
      </c>
      <c r="AH55" s="20">
        <v>25456.100000000002</v>
      </c>
      <c r="AI55" s="2">
        <v>30</v>
      </c>
      <c r="AJ55" s="20">
        <v>44454.340000000004</v>
      </c>
      <c r="AK55" s="2">
        <v>48</v>
      </c>
      <c r="AL55" s="20">
        <v>72397.03</v>
      </c>
    </row>
    <row r="56" spans="29:38" x14ac:dyDescent="0.3">
      <c r="AC56" s="68"/>
      <c r="AD56" s="2" t="s">
        <v>148</v>
      </c>
      <c r="AE56" s="2">
        <v>283.60000000000002</v>
      </c>
      <c r="AF56" s="20">
        <v>444615.61</v>
      </c>
      <c r="AG56" s="2">
        <v>115</v>
      </c>
      <c r="AH56" s="20">
        <v>180689.97</v>
      </c>
      <c r="AI56" s="2">
        <v>118.9</v>
      </c>
      <c r="AJ56" s="20">
        <v>186727.27</v>
      </c>
      <c r="AK56" s="2"/>
      <c r="AL56" s="20"/>
    </row>
    <row r="57" spans="29:38" x14ac:dyDescent="0.3">
      <c r="AC57" s="68"/>
      <c r="AD57" s="2" t="s">
        <v>82</v>
      </c>
      <c r="AE57" s="2">
        <v>122.5</v>
      </c>
      <c r="AF57" s="20">
        <v>191379.59999999998</v>
      </c>
      <c r="AG57" s="2">
        <v>125</v>
      </c>
      <c r="AH57" s="20">
        <v>195203.61</v>
      </c>
      <c r="AI57" s="2">
        <v>200</v>
      </c>
      <c r="AJ57" s="20">
        <v>312882.76</v>
      </c>
      <c r="AK57" s="2">
        <v>14.6</v>
      </c>
      <c r="AL57" s="20">
        <v>22909.52</v>
      </c>
    </row>
    <row r="58" spans="29:38" x14ac:dyDescent="0.3">
      <c r="AC58" s="68"/>
      <c r="AD58" s="2" t="s">
        <v>150</v>
      </c>
      <c r="AE58" s="2">
        <v>1207.5</v>
      </c>
      <c r="AF58" s="20">
        <v>1877658.9199999995</v>
      </c>
      <c r="AG58" s="2">
        <v>473.25</v>
      </c>
      <c r="AH58" s="20">
        <v>735920.30000000016</v>
      </c>
      <c r="AI58" s="2">
        <v>579</v>
      </c>
      <c r="AJ58" s="20">
        <v>898976.03000000014</v>
      </c>
      <c r="AK58" s="2">
        <v>10</v>
      </c>
      <c r="AL58" s="20">
        <v>15580.4</v>
      </c>
    </row>
    <row r="59" spans="29:38" x14ac:dyDescent="0.3">
      <c r="AC59" s="66" t="s">
        <v>102</v>
      </c>
      <c r="AD59" s="66"/>
      <c r="AE59" s="42">
        <f>SUM(AE42:AE58)</f>
        <v>2719.2000000000003</v>
      </c>
      <c r="AF59" s="45">
        <f t="shared" ref="AF59:AL59" si="6">SUM(AF42:AF58)</f>
        <v>4238741.43</v>
      </c>
      <c r="AG59" s="42">
        <f t="shared" si="6"/>
        <v>1495.65</v>
      </c>
      <c r="AH59" s="45">
        <f t="shared" si="6"/>
        <v>2330813.2300000004</v>
      </c>
      <c r="AI59" s="42">
        <f t="shared" si="6"/>
        <v>2369.5</v>
      </c>
      <c r="AJ59" s="45">
        <f t="shared" si="6"/>
        <v>3689752.8900000006</v>
      </c>
      <c r="AK59" s="42">
        <f t="shared" si="6"/>
        <v>287.5</v>
      </c>
      <c r="AL59" s="45">
        <f t="shared" si="6"/>
        <v>446509.80000000005</v>
      </c>
    </row>
    <row r="60" spans="29:38" x14ac:dyDescent="0.3">
      <c r="AC60" s="68" t="s">
        <v>103</v>
      </c>
      <c r="AD60" s="2" t="s">
        <v>140</v>
      </c>
      <c r="AE60" s="2">
        <v>530</v>
      </c>
      <c r="AF60" s="20">
        <v>63032.850000000006</v>
      </c>
      <c r="AG60" s="2">
        <v>0</v>
      </c>
      <c r="AH60" s="20">
        <v>0</v>
      </c>
      <c r="AI60" s="2">
        <v>0</v>
      </c>
      <c r="AJ60" s="20">
        <v>0</v>
      </c>
      <c r="AK60" s="2"/>
      <c r="AL60" s="20"/>
    </row>
    <row r="61" spans="29:38" x14ac:dyDescent="0.3">
      <c r="AC61" s="68"/>
      <c r="AD61" s="2" t="s">
        <v>156</v>
      </c>
      <c r="AE61" s="2">
        <v>0</v>
      </c>
      <c r="AF61" s="20">
        <v>0</v>
      </c>
      <c r="AG61" s="2">
        <v>0</v>
      </c>
      <c r="AH61" s="20">
        <v>0</v>
      </c>
      <c r="AI61" s="2">
        <v>220</v>
      </c>
      <c r="AJ61" s="20">
        <v>26600</v>
      </c>
      <c r="AK61" s="2"/>
      <c r="AL61" s="20"/>
    </row>
    <row r="62" spans="29:38" x14ac:dyDescent="0.3">
      <c r="AC62" s="68"/>
      <c r="AD62" s="2" t="s">
        <v>141</v>
      </c>
      <c r="AE62" s="2">
        <v>380</v>
      </c>
      <c r="AF62" s="20">
        <v>45503.799999999996</v>
      </c>
      <c r="AG62" s="2">
        <v>0</v>
      </c>
      <c r="AH62" s="20">
        <v>0</v>
      </c>
      <c r="AI62" s="2">
        <v>0</v>
      </c>
      <c r="AJ62" s="20">
        <v>0</v>
      </c>
      <c r="AK62" s="2">
        <v>25</v>
      </c>
      <c r="AL62" s="20">
        <v>3087.5</v>
      </c>
    </row>
    <row r="63" spans="29:38" x14ac:dyDescent="0.3">
      <c r="AC63" s="68"/>
      <c r="AD63" s="2" t="s">
        <v>143</v>
      </c>
      <c r="AE63" s="2">
        <v>2345</v>
      </c>
      <c r="AF63" s="20">
        <v>279062.48</v>
      </c>
      <c r="AG63" s="2">
        <v>6415</v>
      </c>
      <c r="AH63" s="20">
        <v>768500.69</v>
      </c>
      <c r="AI63" s="2">
        <v>2620</v>
      </c>
      <c r="AJ63" s="20">
        <v>315875.12</v>
      </c>
      <c r="AK63" s="2">
        <v>1000</v>
      </c>
      <c r="AL63" s="20">
        <v>123500</v>
      </c>
    </row>
    <row r="64" spans="29:38" x14ac:dyDescent="0.3">
      <c r="AC64" s="68"/>
      <c r="AD64" s="2" t="s">
        <v>144</v>
      </c>
      <c r="AE64" s="2">
        <v>120</v>
      </c>
      <c r="AF64" s="20">
        <v>14677.5</v>
      </c>
      <c r="AG64" s="2">
        <v>275</v>
      </c>
      <c r="AH64" s="20">
        <v>33249.71</v>
      </c>
      <c r="AI64" s="2">
        <v>0</v>
      </c>
      <c r="AJ64" s="20">
        <v>0</v>
      </c>
      <c r="AK64" s="2"/>
      <c r="AL64" s="20"/>
    </row>
    <row r="65" spans="29:38" x14ac:dyDescent="0.3">
      <c r="AC65" s="68"/>
      <c r="AD65" s="2" t="s">
        <v>152</v>
      </c>
      <c r="AE65" s="2">
        <v>740</v>
      </c>
      <c r="AF65" s="20">
        <v>88682.4</v>
      </c>
      <c r="AG65" s="2">
        <v>45</v>
      </c>
      <c r="AH65" s="20">
        <v>5700.2099999999991</v>
      </c>
      <c r="AI65" s="2">
        <v>100</v>
      </c>
      <c r="AJ65" s="20">
        <v>12350</v>
      </c>
      <c r="AK65" s="2"/>
      <c r="AL65" s="20"/>
    </row>
    <row r="66" spans="29:38" x14ac:dyDescent="0.3">
      <c r="AC66" s="68"/>
      <c r="AD66" s="2" t="s">
        <v>145</v>
      </c>
      <c r="AE66" s="2">
        <v>830</v>
      </c>
      <c r="AF66" s="20">
        <v>99513.700000000012</v>
      </c>
      <c r="AG66" s="2">
        <v>170</v>
      </c>
      <c r="AH66" s="20">
        <v>20425.11</v>
      </c>
      <c r="AI66" s="2">
        <v>675</v>
      </c>
      <c r="AJ66" s="20">
        <v>80631.179999999993</v>
      </c>
      <c r="AK66" s="2">
        <v>60</v>
      </c>
      <c r="AL66" s="20">
        <v>7125</v>
      </c>
    </row>
    <row r="67" spans="29:38" x14ac:dyDescent="0.3">
      <c r="AC67" s="68"/>
      <c r="AD67" s="2" t="s">
        <v>81</v>
      </c>
      <c r="AE67" s="2">
        <v>1900</v>
      </c>
      <c r="AF67" s="20">
        <v>226812.57</v>
      </c>
      <c r="AG67" s="2">
        <v>680</v>
      </c>
      <c r="AH67" s="20">
        <v>81699.779999999984</v>
      </c>
      <c r="AI67" s="2">
        <v>239</v>
      </c>
      <c r="AJ67" s="20">
        <v>28732.33</v>
      </c>
      <c r="AK67" s="2">
        <v>290</v>
      </c>
      <c r="AL67" s="20">
        <v>30874.98</v>
      </c>
    </row>
    <row r="68" spans="29:38" x14ac:dyDescent="0.3">
      <c r="AC68" s="68"/>
      <c r="AD68" s="2" t="s">
        <v>160</v>
      </c>
      <c r="AE68" s="2"/>
      <c r="AF68" s="20"/>
      <c r="AG68" s="2"/>
      <c r="AH68" s="20"/>
      <c r="AI68" s="2"/>
      <c r="AJ68" s="20"/>
      <c r="AK68" s="2">
        <v>25</v>
      </c>
      <c r="AL68" s="20">
        <v>3087.5</v>
      </c>
    </row>
    <row r="69" spans="29:38" x14ac:dyDescent="0.3">
      <c r="AC69" s="68"/>
      <c r="AD69" s="2" t="s">
        <v>146</v>
      </c>
      <c r="AE69" s="2">
        <v>14075</v>
      </c>
      <c r="AF69" s="20">
        <v>1683492.1099999994</v>
      </c>
      <c r="AG69" s="2">
        <v>15695</v>
      </c>
      <c r="AH69" s="20">
        <v>1873205.65</v>
      </c>
      <c r="AI69" s="2">
        <v>10430</v>
      </c>
      <c r="AJ69" s="20">
        <v>1244427.6399999997</v>
      </c>
      <c r="AK69" s="2">
        <v>945</v>
      </c>
      <c r="AL69" s="20">
        <v>113168.58</v>
      </c>
    </row>
    <row r="70" spans="29:38" x14ac:dyDescent="0.3">
      <c r="AC70" s="68"/>
      <c r="AD70" s="2" t="s">
        <v>151</v>
      </c>
      <c r="AE70" s="2">
        <v>0</v>
      </c>
      <c r="AF70" s="20">
        <v>0</v>
      </c>
      <c r="AG70" s="2">
        <v>0</v>
      </c>
      <c r="AH70" s="20">
        <v>0</v>
      </c>
      <c r="AI70" s="2">
        <v>6</v>
      </c>
      <c r="AJ70" s="20">
        <v>741.01</v>
      </c>
      <c r="AK70" s="2"/>
      <c r="AL70" s="20"/>
    </row>
    <row r="71" spans="29:38" x14ac:dyDescent="0.3">
      <c r="AC71" s="68"/>
      <c r="AD71" s="2" t="s">
        <v>147</v>
      </c>
      <c r="AE71" s="2">
        <v>4</v>
      </c>
      <c r="AF71" s="20">
        <v>493.98</v>
      </c>
      <c r="AG71" s="2">
        <v>1</v>
      </c>
      <c r="AH71" s="20">
        <v>123.5</v>
      </c>
      <c r="AI71" s="2">
        <v>0</v>
      </c>
      <c r="AJ71" s="20">
        <v>0</v>
      </c>
      <c r="AK71" s="2"/>
      <c r="AL71" s="20"/>
    </row>
    <row r="72" spans="29:38" x14ac:dyDescent="0.3">
      <c r="AC72" s="68"/>
      <c r="AD72" s="2" t="s">
        <v>148</v>
      </c>
      <c r="AE72" s="2">
        <v>0</v>
      </c>
      <c r="AF72" s="20">
        <v>0</v>
      </c>
      <c r="AG72" s="2">
        <v>0</v>
      </c>
      <c r="AH72" s="20">
        <v>0</v>
      </c>
      <c r="AI72" s="2">
        <v>360</v>
      </c>
      <c r="AJ72" s="20">
        <v>43462.5</v>
      </c>
      <c r="AK72" s="2"/>
      <c r="AL72" s="20"/>
    </row>
    <row r="73" spans="29:38" x14ac:dyDescent="0.3">
      <c r="AC73" s="68"/>
      <c r="AD73" s="2" t="s">
        <v>82</v>
      </c>
      <c r="AE73" s="2">
        <v>720</v>
      </c>
      <c r="AF73" s="20">
        <v>86497.420000000013</v>
      </c>
      <c r="AG73" s="2">
        <v>465</v>
      </c>
      <c r="AH73" s="20">
        <v>55574.87</v>
      </c>
      <c r="AI73" s="2">
        <v>630</v>
      </c>
      <c r="AJ73" s="20">
        <v>74812.52</v>
      </c>
      <c r="AK73" s="2">
        <v>55</v>
      </c>
      <c r="AL73" s="20">
        <v>6085.83</v>
      </c>
    </row>
    <row r="74" spans="29:38" x14ac:dyDescent="0.3">
      <c r="AC74" s="68"/>
      <c r="AD74" s="2" t="s">
        <v>150</v>
      </c>
      <c r="AE74" s="2">
        <v>930</v>
      </c>
      <c r="AF74" s="20">
        <v>113406.72000000002</v>
      </c>
      <c r="AG74" s="2">
        <v>1010</v>
      </c>
      <c r="AH74" s="20">
        <v>121691.79999999999</v>
      </c>
      <c r="AI74" s="2">
        <v>500</v>
      </c>
      <c r="AJ74" s="20">
        <v>59619.77</v>
      </c>
      <c r="AK74" s="2">
        <v>60</v>
      </c>
      <c r="AL74" s="20">
        <v>7125</v>
      </c>
    </row>
    <row r="75" spans="29:38" x14ac:dyDescent="0.3">
      <c r="AC75" s="66" t="s">
        <v>104</v>
      </c>
      <c r="AD75" s="66"/>
      <c r="AE75" s="42">
        <f>SUM(AE60:AE74)</f>
        <v>22574</v>
      </c>
      <c r="AF75" s="45">
        <f t="shared" ref="AF75:AL75" si="7">SUM(AF60:AF74)</f>
        <v>2701175.5299999993</v>
      </c>
      <c r="AG75" s="42">
        <f t="shared" si="7"/>
        <v>24756</v>
      </c>
      <c r="AH75" s="45">
        <f t="shared" si="7"/>
        <v>2960171.32</v>
      </c>
      <c r="AI75" s="42">
        <f t="shared" si="7"/>
        <v>15780</v>
      </c>
      <c r="AJ75" s="45">
        <f t="shared" si="7"/>
        <v>1887252.0699999996</v>
      </c>
      <c r="AK75" s="42">
        <f t="shared" si="7"/>
        <v>2460</v>
      </c>
      <c r="AL75" s="45">
        <f t="shared" si="7"/>
        <v>294054.39</v>
      </c>
    </row>
    <row r="76" spans="29:38" x14ac:dyDescent="0.3">
      <c r="AC76" s="69" t="s">
        <v>85</v>
      </c>
      <c r="AD76" s="69"/>
      <c r="AE76" s="51">
        <f>SUM(AE75,AE59,AE41,AE23,AE12)</f>
        <v>58479.199999999997</v>
      </c>
      <c r="AF76" s="52">
        <f t="shared" ref="AF76:AL76" si="8">SUM(AF75,AF59,AF41,AF23,AF12)</f>
        <v>11827753.84</v>
      </c>
      <c r="AG76" s="51">
        <f t="shared" si="8"/>
        <v>40349.15</v>
      </c>
      <c r="AH76" s="52">
        <f t="shared" si="8"/>
        <v>7727428.0300000003</v>
      </c>
      <c r="AI76" s="51">
        <f t="shared" si="8"/>
        <v>29723</v>
      </c>
      <c r="AJ76" s="52">
        <f t="shared" si="8"/>
        <v>7441443.9300000006</v>
      </c>
      <c r="AK76" s="51">
        <f t="shared" si="8"/>
        <v>4209.5</v>
      </c>
      <c r="AL76" s="52">
        <f t="shared" si="8"/>
        <v>1003790.0100000001</v>
      </c>
    </row>
  </sheetData>
  <mergeCells count="35">
    <mergeCell ref="G1:G2"/>
    <mergeCell ref="F1:F2"/>
    <mergeCell ref="E1:E2"/>
    <mergeCell ref="P1:P2"/>
    <mergeCell ref="O1:O2"/>
    <mergeCell ref="N1:N2"/>
    <mergeCell ref="M1:M2"/>
    <mergeCell ref="L1:L2"/>
    <mergeCell ref="K1:K2"/>
    <mergeCell ref="AC2:AC11"/>
    <mergeCell ref="AC12:AD12"/>
    <mergeCell ref="J1:J2"/>
    <mergeCell ref="I1:I2"/>
    <mergeCell ref="H1:H2"/>
    <mergeCell ref="R1:S1"/>
    <mergeCell ref="T1:U1"/>
    <mergeCell ref="V1:W1"/>
    <mergeCell ref="X1:Y1"/>
    <mergeCell ref="Q1:Q2"/>
    <mergeCell ref="AC60:AC74"/>
    <mergeCell ref="AC75:AD75"/>
    <mergeCell ref="AC76:AD76"/>
    <mergeCell ref="A8:B8"/>
    <mergeCell ref="Z1:Z2"/>
    <mergeCell ref="AA1:AA2"/>
    <mergeCell ref="AC13:AC22"/>
    <mergeCell ref="AC23:AD23"/>
    <mergeCell ref="AC24:AC40"/>
    <mergeCell ref="AC41:AD41"/>
    <mergeCell ref="AC42:AC58"/>
    <mergeCell ref="AC59:AD59"/>
    <mergeCell ref="D1:D2"/>
    <mergeCell ref="C1:C2"/>
    <mergeCell ref="B1:B2"/>
    <mergeCell ref="A1:A2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AD0C7083-04EE-4ABD-A9B8-29A65F6F91B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'PRODUCTS LAUNCHED IN 2022'!AF2:AJ2</xm:f>
              <xm:sqref>AM2</xm:sqref>
            </x14:sparkline>
            <x14:sparkline>
              <xm:f>'PRODUCTS LAUNCHED IN 2022'!AF3:AJ3</xm:f>
              <xm:sqref>AM3</xm:sqref>
            </x14:sparkline>
            <x14:sparkline>
              <xm:f>'PRODUCTS LAUNCHED IN 2022'!AF4:AJ4</xm:f>
              <xm:sqref>AM4</xm:sqref>
            </x14:sparkline>
            <x14:sparkline>
              <xm:f>'PRODUCTS LAUNCHED IN 2022'!AF5:AJ5</xm:f>
              <xm:sqref>AM5</xm:sqref>
            </x14:sparkline>
            <x14:sparkline>
              <xm:f>'PRODUCTS LAUNCHED IN 2022'!AF6:AJ6</xm:f>
              <xm:sqref>AM6</xm:sqref>
            </x14:sparkline>
            <x14:sparkline>
              <xm:f>'PRODUCTS LAUNCHED IN 2022'!AF7:AJ7</xm:f>
              <xm:sqref>AM7</xm:sqref>
            </x14:sparkline>
            <x14:sparkline>
              <xm:f>'PRODUCTS LAUNCHED IN 2022'!AF8:AJ8</xm:f>
              <xm:sqref>AM8</xm:sqref>
            </x14:sparkline>
            <x14:sparkline>
              <xm:f>'PRODUCTS LAUNCHED IN 2022'!AF9:AJ9</xm:f>
              <xm:sqref>AM9</xm:sqref>
            </x14:sparkline>
            <x14:sparkline>
              <xm:f>'PRODUCTS LAUNCHED IN 2022'!AF10:AJ10</xm:f>
              <xm:sqref>AM10</xm:sqref>
            </x14:sparkline>
            <x14:sparkline>
              <xm:f>'PRODUCTS LAUNCHED IN 2022'!AF11:AJ11</xm:f>
              <xm:sqref>AM11</xm:sqref>
            </x14:sparkline>
            <x14:sparkline>
              <xm:f>'PRODUCTS LAUNCHED IN 2022'!AF12:AJ12</xm:f>
              <xm:sqref>AM12</xm:sqref>
            </x14:sparkline>
            <x14:sparkline>
              <xm:f>'PRODUCTS LAUNCHED IN 2022'!AF13:AJ13</xm:f>
              <xm:sqref>AM13</xm:sqref>
            </x14:sparkline>
            <x14:sparkline>
              <xm:f>'PRODUCTS LAUNCHED IN 2022'!AF14:AJ14</xm:f>
              <xm:sqref>AM14</xm:sqref>
            </x14:sparkline>
            <x14:sparkline>
              <xm:f>'PRODUCTS LAUNCHED IN 2022'!AF15:AJ15</xm:f>
              <xm:sqref>AM15</xm:sqref>
            </x14:sparkline>
            <x14:sparkline>
              <xm:f>'PRODUCTS LAUNCHED IN 2022'!AF16:AJ16</xm:f>
              <xm:sqref>AM16</xm:sqref>
            </x14:sparkline>
            <x14:sparkline>
              <xm:f>'PRODUCTS LAUNCHED IN 2022'!AF17:AJ17</xm:f>
              <xm:sqref>AM17</xm:sqref>
            </x14:sparkline>
            <x14:sparkline>
              <xm:f>'PRODUCTS LAUNCHED IN 2022'!AF18:AJ18</xm:f>
              <xm:sqref>AM18</xm:sqref>
            </x14:sparkline>
            <x14:sparkline>
              <xm:f>'PRODUCTS LAUNCHED IN 2022'!AF19:AJ19</xm:f>
              <xm:sqref>AM19</xm:sqref>
            </x14:sparkline>
            <x14:sparkline>
              <xm:f>'PRODUCTS LAUNCHED IN 2022'!AF20:AJ20</xm:f>
              <xm:sqref>AM20</xm:sqref>
            </x14:sparkline>
            <x14:sparkline>
              <xm:f>'PRODUCTS LAUNCHED IN 2022'!AF21:AJ21</xm:f>
              <xm:sqref>AM21</xm:sqref>
            </x14:sparkline>
            <x14:sparkline>
              <xm:f>'PRODUCTS LAUNCHED IN 2022'!AF22:AJ22</xm:f>
              <xm:sqref>AM22</xm:sqref>
            </x14:sparkline>
            <x14:sparkline>
              <xm:f>'PRODUCTS LAUNCHED IN 2022'!AF23:AJ23</xm:f>
              <xm:sqref>AM23</xm:sqref>
            </x14:sparkline>
            <x14:sparkline>
              <xm:f>'PRODUCTS LAUNCHED IN 2022'!AF24:AJ24</xm:f>
              <xm:sqref>AM24</xm:sqref>
            </x14:sparkline>
            <x14:sparkline>
              <xm:f>'PRODUCTS LAUNCHED IN 2022'!AF25:AJ25</xm:f>
              <xm:sqref>AM25</xm:sqref>
            </x14:sparkline>
            <x14:sparkline>
              <xm:f>'PRODUCTS LAUNCHED IN 2022'!AF26:AJ26</xm:f>
              <xm:sqref>AM26</xm:sqref>
            </x14:sparkline>
            <x14:sparkline>
              <xm:f>'PRODUCTS LAUNCHED IN 2022'!AF27:AJ27</xm:f>
              <xm:sqref>AM27</xm:sqref>
            </x14:sparkline>
            <x14:sparkline>
              <xm:f>'PRODUCTS LAUNCHED IN 2022'!AF28:AJ28</xm:f>
              <xm:sqref>AM28</xm:sqref>
            </x14:sparkline>
            <x14:sparkline>
              <xm:f>'PRODUCTS LAUNCHED IN 2022'!AF29:AJ29</xm:f>
              <xm:sqref>AM29</xm:sqref>
            </x14:sparkline>
            <x14:sparkline>
              <xm:f>'PRODUCTS LAUNCHED IN 2022'!AF30:AJ30</xm:f>
              <xm:sqref>AM30</xm:sqref>
            </x14:sparkline>
            <x14:sparkline>
              <xm:f>'PRODUCTS LAUNCHED IN 2022'!AF31:AJ31</xm:f>
              <xm:sqref>AM31</xm:sqref>
            </x14:sparkline>
            <x14:sparkline>
              <xm:f>'PRODUCTS LAUNCHED IN 2022'!AF32:AJ32</xm:f>
              <xm:sqref>AM32</xm:sqref>
            </x14:sparkline>
            <x14:sparkline>
              <xm:f>'PRODUCTS LAUNCHED IN 2022'!AF33:AJ33</xm:f>
              <xm:sqref>AM33</xm:sqref>
            </x14:sparkline>
            <x14:sparkline>
              <xm:f>'PRODUCTS LAUNCHED IN 2022'!AF34:AJ34</xm:f>
              <xm:sqref>AM34</xm:sqref>
            </x14:sparkline>
            <x14:sparkline>
              <xm:f>'PRODUCTS LAUNCHED IN 2022'!AF35:AJ35</xm:f>
              <xm:sqref>AM35</xm:sqref>
            </x14:sparkline>
            <x14:sparkline>
              <xm:f>'PRODUCTS LAUNCHED IN 2022'!AF36:AJ36</xm:f>
              <xm:sqref>AM36</xm:sqref>
            </x14:sparkline>
            <x14:sparkline>
              <xm:f>'PRODUCTS LAUNCHED IN 2022'!AF37:AJ37</xm:f>
              <xm:sqref>AM37</xm:sqref>
            </x14:sparkline>
            <x14:sparkline>
              <xm:f>'PRODUCTS LAUNCHED IN 2022'!AF38:AJ38</xm:f>
              <xm:sqref>AM38</xm:sqref>
            </x14:sparkline>
            <x14:sparkline>
              <xm:f>'PRODUCTS LAUNCHED IN 2022'!AF39:AJ39</xm:f>
              <xm:sqref>AM39</xm:sqref>
            </x14:sparkline>
            <x14:sparkline>
              <xm:f>'PRODUCTS LAUNCHED IN 2022'!AF40:AJ40</xm:f>
              <xm:sqref>AM40</xm:sqref>
            </x14:sparkline>
            <x14:sparkline>
              <xm:f>'PRODUCTS LAUNCHED IN 2022'!AF41:AJ41</xm:f>
              <xm:sqref>AM41</xm:sqref>
            </x14:sparkline>
            <x14:sparkline>
              <xm:f>'PRODUCTS LAUNCHED IN 2022'!AF42:AJ42</xm:f>
              <xm:sqref>AM42</xm:sqref>
            </x14:sparkline>
            <x14:sparkline>
              <xm:f>'PRODUCTS LAUNCHED IN 2022'!AF43:AJ43</xm:f>
              <xm:sqref>AM43</xm:sqref>
            </x14:sparkline>
            <x14:sparkline>
              <xm:f>'PRODUCTS LAUNCHED IN 2022'!AF44:AJ44</xm:f>
              <xm:sqref>AM44</xm:sqref>
            </x14:sparkline>
            <x14:sparkline>
              <xm:f>'PRODUCTS LAUNCHED IN 2022'!AF45:AJ45</xm:f>
              <xm:sqref>AM45</xm:sqref>
            </x14:sparkline>
            <x14:sparkline>
              <xm:f>'PRODUCTS LAUNCHED IN 2022'!AF46:AJ46</xm:f>
              <xm:sqref>AM46</xm:sqref>
            </x14:sparkline>
            <x14:sparkline>
              <xm:f>'PRODUCTS LAUNCHED IN 2022'!AF47:AJ47</xm:f>
              <xm:sqref>AM47</xm:sqref>
            </x14:sparkline>
            <x14:sparkline>
              <xm:f>'PRODUCTS LAUNCHED IN 2022'!AF48:AJ48</xm:f>
              <xm:sqref>AM48</xm:sqref>
            </x14:sparkline>
            <x14:sparkline>
              <xm:f>'PRODUCTS LAUNCHED IN 2022'!AF49:AJ49</xm:f>
              <xm:sqref>AM49</xm:sqref>
            </x14:sparkline>
            <x14:sparkline>
              <xm:f>'PRODUCTS LAUNCHED IN 2022'!AF50:AJ50</xm:f>
              <xm:sqref>AM50</xm:sqref>
            </x14:sparkline>
            <x14:sparkline>
              <xm:f>'PRODUCTS LAUNCHED IN 2022'!AF51:AJ51</xm:f>
              <xm:sqref>AM51</xm:sqref>
            </x14:sparkline>
            <x14:sparkline>
              <xm:f>'PRODUCTS LAUNCHED IN 2022'!AF52:AJ52</xm:f>
              <xm:sqref>AM52</xm:sqref>
            </x14:sparkline>
            <x14:sparkline>
              <xm:f>'PRODUCTS LAUNCHED IN 2022'!AF53:AJ53</xm:f>
              <xm:sqref>AM53</xm:sqref>
            </x14:sparkline>
            <x14:sparkline>
              <xm:f>'PRODUCTS LAUNCHED IN 2022'!AF54:AJ54</xm:f>
              <xm:sqref>AM54</xm:sqref>
            </x14:sparkline>
            <x14:sparkline>
              <xm:f>'PRODUCTS LAUNCHED IN 2022'!AF55:AJ55</xm:f>
              <xm:sqref>AM55</xm:sqref>
            </x14:sparkline>
            <x14:sparkline>
              <xm:f>'PRODUCTS LAUNCHED IN 2022'!AF56:AJ56</xm:f>
              <xm:sqref>AM56</xm:sqref>
            </x14:sparkline>
            <x14:sparkline>
              <xm:f>'PRODUCTS LAUNCHED IN 2022'!AF57:AJ57</xm:f>
              <xm:sqref>AM57</xm:sqref>
            </x14:sparkline>
            <x14:sparkline>
              <xm:f>'PRODUCTS LAUNCHED IN 2022'!AF58:AJ58</xm:f>
              <xm:sqref>AM58</xm:sqref>
            </x14:sparkline>
            <x14:sparkline>
              <xm:f>'PRODUCTS LAUNCHED IN 2022'!AF59:AJ59</xm:f>
              <xm:sqref>AM59</xm:sqref>
            </x14:sparkline>
            <x14:sparkline>
              <xm:f>'PRODUCTS LAUNCHED IN 2022'!AF60:AJ60</xm:f>
              <xm:sqref>AM60</xm:sqref>
            </x14:sparkline>
            <x14:sparkline>
              <xm:f>'PRODUCTS LAUNCHED IN 2022'!AF61:AJ61</xm:f>
              <xm:sqref>AM61</xm:sqref>
            </x14:sparkline>
            <x14:sparkline>
              <xm:f>'PRODUCTS LAUNCHED IN 2022'!AF62:AJ62</xm:f>
              <xm:sqref>AM62</xm:sqref>
            </x14:sparkline>
            <x14:sparkline>
              <xm:f>'PRODUCTS LAUNCHED IN 2022'!AF63:AJ63</xm:f>
              <xm:sqref>AM63</xm:sqref>
            </x14:sparkline>
            <x14:sparkline>
              <xm:f>'PRODUCTS LAUNCHED IN 2022'!AF64:AJ64</xm:f>
              <xm:sqref>AM64</xm:sqref>
            </x14:sparkline>
            <x14:sparkline>
              <xm:f>'PRODUCTS LAUNCHED IN 2022'!AF65:AJ65</xm:f>
              <xm:sqref>AM65</xm:sqref>
            </x14:sparkline>
            <x14:sparkline>
              <xm:f>'PRODUCTS LAUNCHED IN 2022'!AF66:AJ66</xm:f>
              <xm:sqref>AM66</xm:sqref>
            </x14:sparkline>
            <x14:sparkline>
              <xm:f>'PRODUCTS LAUNCHED IN 2022'!AF67:AJ67</xm:f>
              <xm:sqref>AM67</xm:sqref>
            </x14:sparkline>
            <x14:sparkline>
              <xm:f>'PRODUCTS LAUNCHED IN 2022'!AF68:AJ68</xm:f>
              <xm:sqref>AM68</xm:sqref>
            </x14:sparkline>
            <x14:sparkline>
              <xm:f>'PRODUCTS LAUNCHED IN 2022'!AF69:AJ69</xm:f>
              <xm:sqref>AM69</xm:sqref>
            </x14:sparkline>
            <x14:sparkline>
              <xm:f>'PRODUCTS LAUNCHED IN 2022'!AF70:AJ70</xm:f>
              <xm:sqref>AM70</xm:sqref>
            </x14:sparkline>
            <x14:sparkline>
              <xm:f>'PRODUCTS LAUNCHED IN 2022'!AF71:AJ71</xm:f>
              <xm:sqref>AM71</xm:sqref>
            </x14:sparkline>
            <x14:sparkline>
              <xm:f>'PRODUCTS LAUNCHED IN 2022'!AF72:AJ72</xm:f>
              <xm:sqref>AM72</xm:sqref>
            </x14:sparkline>
            <x14:sparkline>
              <xm:f>'PRODUCTS LAUNCHED IN 2022'!AF73:AJ73</xm:f>
              <xm:sqref>AM73</xm:sqref>
            </x14:sparkline>
            <x14:sparkline>
              <xm:f>'PRODUCTS LAUNCHED IN 2022'!AF74:AJ74</xm:f>
              <xm:sqref>AM74</xm:sqref>
            </x14:sparkline>
            <x14:sparkline>
              <xm:f>'PRODUCTS LAUNCHED IN 2022'!AF75:AJ75</xm:f>
              <xm:sqref>AM75</xm:sqref>
            </x14:sparkline>
            <x14:sparkline>
              <xm:f>'PRODUCTS LAUNCHED IN 2022'!AF76:AJ76</xm:f>
              <xm:sqref>AM76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02C9B-7A95-428A-884C-1B697EA7390D}">
  <dimension ref="A1:AG216"/>
  <sheetViews>
    <sheetView tabSelected="1" zoomScale="90" zoomScaleNormal="90" workbookViewId="0">
      <pane xSplit="17" ySplit="2" topLeftCell="R3" activePane="bottomRight" state="frozen"/>
      <selection pane="topRight" activeCell="R1" sqref="R1"/>
      <selection pane="bottomLeft" activeCell="A3" sqref="A3"/>
      <selection pane="bottomRight" activeCell="Y20" sqref="Y20"/>
    </sheetView>
  </sheetViews>
  <sheetFormatPr defaultRowHeight="14.4" x14ac:dyDescent="0.3"/>
  <cols>
    <col min="1" max="1" width="6.6640625" bestFit="1" customWidth="1"/>
    <col min="2" max="2" width="23.109375" bestFit="1" customWidth="1"/>
    <col min="3" max="3" width="7.6640625" hidden="1" customWidth="1"/>
    <col min="4" max="4" width="15.44140625" hidden="1" customWidth="1"/>
    <col min="5" max="5" width="8" hidden="1" customWidth="1"/>
    <col min="6" max="6" width="13.21875" hidden="1" customWidth="1"/>
    <col min="7" max="7" width="8.44140625" hidden="1" customWidth="1"/>
    <col min="8" max="8" width="20.44140625" hidden="1" customWidth="1"/>
    <col min="9" max="10" width="8.5546875" hidden="1" customWidth="1"/>
    <col min="11" max="11" width="23.5546875" hidden="1" customWidth="1"/>
    <col min="12" max="12" width="8.109375" hidden="1" customWidth="1"/>
    <col min="13" max="13" width="8.5546875" hidden="1" customWidth="1"/>
    <col min="14" max="14" width="7.88671875" hidden="1" customWidth="1"/>
    <col min="15" max="15" width="4.6640625" hidden="1" customWidth="1"/>
    <col min="16" max="16" width="8.6640625" hidden="1" customWidth="1"/>
    <col min="17" max="17" width="7" hidden="1" customWidth="1"/>
    <col min="18" max="18" width="10.109375" bestFit="1" customWidth="1"/>
    <col min="19" max="19" width="13.109375" style="18" bestFit="1" customWidth="1"/>
    <col min="20" max="20" width="10.109375" bestFit="1" customWidth="1"/>
    <col min="21" max="21" width="13.109375" style="18" bestFit="1" customWidth="1"/>
    <col min="22" max="22" width="10.109375" bestFit="1" customWidth="1"/>
    <col min="23" max="23" width="11.44140625" style="18" bestFit="1" customWidth="1"/>
    <col min="24" max="24" width="18.5546875" style="18" customWidth="1"/>
    <col min="25" max="25" width="10" bestFit="1" customWidth="1"/>
    <col min="26" max="26" width="27.109375" bestFit="1" customWidth="1"/>
    <col min="27" max="27" width="16.21875" bestFit="1" customWidth="1"/>
    <col min="28" max="28" width="9.77734375" hidden="1" customWidth="1"/>
    <col min="29" max="29" width="13.109375" style="18" bestFit="1" customWidth="1"/>
    <col min="30" max="30" width="10.44140625" bestFit="1" customWidth="1"/>
    <col min="31" max="31" width="13.109375" style="18" bestFit="1" customWidth="1"/>
    <col min="32" max="32" width="11.109375" bestFit="1" customWidth="1"/>
    <col min="33" max="33" width="11.44140625" style="18" bestFit="1" customWidth="1"/>
    <col min="34" max="34" width="12" customWidth="1"/>
  </cols>
  <sheetData>
    <row r="1" spans="1:33" ht="28.8" x14ac:dyDescent="0.3">
      <c r="A1" s="70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0" t="s">
        <v>6</v>
      </c>
      <c r="H1" s="71" t="s">
        <v>7</v>
      </c>
      <c r="I1" s="71" t="s">
        <v>8</v>
      </c>
      <c r="J1" s="71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2" t="s">
        <v>75</v>
      </c>
      <c r="S1" s="74"/>
      <c r="T1" s="72" t="s">
        <v>76</v>
      </c>
      <c r="U1" s="74"/>
      <c r="V1" s="72" t="s">
        <v>77</v>
      </c>
      <c r="W1" s="74"/>
      <c r="X1" s="67" t="s">
        <v>176</v>
      </c>
      <c r="Z1" s="48" t="s">
        <v>1</v>
      </c>
      <c r="AA1" s="48" t="s">
        <v>94</v>
      </c>
      <c r="AB1" s="48" t="s">
        <v>107</v>
      </c>
      <c r="AC1" s="49" t="s">
        <v>108</v>
      </c>
      <c r="AD1" s="48" t="s">
        <v>109</v>
      </c>
      <c r="AE1" s="49" t="s">
        <v>110</v>
      </c>
      <c r="AF1" s="15" t="s">
        <v>154</v>
      </c>
      <c r="AG1" s="50" t="s">
        <v>155</v>
      </c>
    </row>
    <row r="2" spans="1:33" x14ac:dyDescent="0.3">
      <c r="A2" s="70"/>
      <c r="B2" s="71"/>
      <c r="C2" s="71"/>
      <c r="D2" s="71"/>
      <c r="E2" s="71"/>
      <c r="F2" s="71"/>
      <c r="G2" s="70"/>
      <c r="H2" s="71"/>
      <c r="I2" s="71"/>
      <c r="J2" s="71"/>
      <c r="K2" s="71"/>
      <c r="L2" s="71"/>
      <c r="M2" s="71"/>
      <c r="N2" s="71"/>
      <c r="O2" s="71"/>
      <c r="P2" s="71"/>
      <c r="Q2" s="73"/>
      <c r="R2" s="16" t="s">
        <v>78</v>
      </c>
      <c r="S2" s="44" t="s">
        <v>79</v>
      </c>
      <c r="T2" s="16" t="s">
        <v>78</v>
      </c>
      <c r="U2" s="44" t="s">
        <v>79</v>
      </c>
      <c r="V2" s="16" t="s">
        <v>78</v>
      </c>
      <c r="W2" s="44" t="s">
        <v>79</v>
      </c>
      <c r="X2" s="67"/>
      <c r="Z2" s="68" t="s">
        <v>111</v>
      </c>
      <c r="AA2" s="2" t="s">
        <v>140</v>
      </c>
      <c r="AB2" s="2">
        <v>775</v>
      </c>
      <c r="AC2" s="20">
        <v>80512.020000000019</v>
      </c>
      <c r="AD2" s="2">
        <v>280</v>
      </c>
      <c r="AE2" s="20">
        <v>31540.1</v>
      </c>
      <c r="AF2" s="2"/>
      <c r="AG2" s="20"/>
    </row>
    <row r="3" spans="1:33" x14ac:dyDescent="0.3">
      <c r="A3" s="11">
        <v>1</v>
      </c>
      <c r="B3" s="2" t="s">
        <v>49</v>
      </c>
      <c r="C3" s="2">
        <v>2023</v>
      </c>
      <c r="D3" s="1" t="s">
        <v>50</v>
      </c>
      <c r="E3" s="1" t="s">
        <v>35</v>
      </c>
      <c r="F3" s="3" t="s">
        <v>51</v>
      </c>
      <c r="G3" s="5" t="s">
        <v>52</v>
      </c>
      <c r="H3" s="4" t="s">
        <v>53</v>
      </c>
      <c r="I3" s="4"/>
      <c r="J3" s="3"/>
      <c r="K3" s="5" t="s">
        <v>24</v>
      </c>
      <c r="L3" s="2"/>
      <c r="M3" s="6">
        <v>110</v>
      </c>
      <c r="N3" s="6">
        <v>105</v>
      </c>
      <c r="O3" s="7">
        <v>0.05</v>
      </c>
      <c r="P3" s="8" t="s">
        <v>42</v>
      </c>
      <c r="Q3" s="3">
        <v>58</v>
      </c>
      <c r="R3" s="14">
        <v>38987</v>
      </c>
      <c r="S3" s="28">
        <v>3937833.0400000052</v>
      </c>
      <c r="T3" s="11">
        <v>16357</v>
      </c>
      <c r="U3" s="28">
        <v>1795200.7600000005</v>
      </c>
      <c r="V3" s="11">
        <v>681</v>
      </c>
      <c r="W3" s="28">
        <v>82156.639999999999</v>
      </c>
      <c r="X3" s="63">
        <f>(U3-S3)/ABS(S3)</f>
        <v>-0.54411455697471678</v>
      </c>
      <c r="Z3" s="68"/>
      <c r="AA3" s="2" t="s">
        <v>156</v>
      </c>
      <c r="AB3" s="2">
        <v>0</v>
      </c>
      <c r="AC3" s="20">
        <v>0</v>
      </c>
      <c r="AD3" s="2">
        <v>20</v>
      </c>
      <c r="AE3" s="20">
        <v>2280.11</v>
      </c>
      <c r="AF3" s="2">
        <v>12</v>
      </c>
      <c r="AG3" s="20">
        <v>1482.02</v>
      </c>
    </row>
    <row r="4" spans="1:33" x14ac:dyDescent="0.3">
      <c r="A4" s="11">
        <v>2</v>
      </c>
      <c r="B4" s="1" t="s">
        <v>54</v>
      </c>
      <c r="C4" s="2">
        <v>2023</v>
      </c>
      <c r="D4" s="1" t="s">
        <v>18</v>
      </c>
      <c r="E4" s="1" t="s">
        <v>19</v>
      </c>
      <c r="F4" s="3" t="s">
        <v>20</v>
      </c>
      <c r="G4" s="5"/>
      <c r="H4" s="4" t="s">
        <v>55</v>
      </c>
      <c r="I4" s="4"/>
      <c r="J4" s="3"/>
      <c r="K4" s="5" t="s">
        <v>24</v>
      </c>
      <c r="L4" s="2"/>
      <c r="M4" s="6">
        <v>750</v>
      </c>
      <c r="N4" s="6">
        <v>787.5</v>
      </c>
      <c r="O4" s="7">
        <v>0.12</v>
      </c>
      <c r="P4" s="8" t="s">
        <v>33</v>
      </c>
      <c r="Q4" s="3">
        <v>59</v>
      </c>
      <c r="R4" s="14">
        <v>130</v>
      </c>
      <c r="S4" s="28">
        <v>97089.98</v>
      </c>
      <c r="T4" s="11">
        <v>154</v>
      </c>
      <c r="U4" s="28">
        <v>118860.01000000001</v>
      </c>
      <c r="V4" s="11">
        <v>33</v>
      </c>
      <c r="W4" s="28">
        <v>25794.059999999998</v>
      </c>
      <c r="X4" s="63">
        <f t="shared" ref="X4:X16" si="0">(U4-S4)/ABS(S4)</f>
        <v>0.22422530110728228</v>
      </c>
      <c r="Z4" s="68"/>
      <c r="AA4" s="2" t="s">
        <v>141</v>
      </c>
      <c r="AB4" s="2">
        <v>70</v>
      </c>
      <c r="AC4" s="20">
        <v>7220</v>
      </c>
      <c r="AD4" s="2">
        <v>93</v>
      </c>
      <c r="AE4" s="20">
        <v>10602.18</v>
      </c>
      <c r="AF4" s="2">
        <v>6</v>
      </c>
      <c r="AG4" s="20">
        <v>740.98</v>
      </c>
    </row>
    <row r="5" spans="1:33" x14ac:dyDescent="0.3">
      <c r="A5" s="11">
        <v>3</v>
      </c>
      <c r="B5" s="5" t="s">
        <v>56</v>
      </c>
      <c r="C5" s="2">
        <v>2023</v>
      </c>
      <c r="D5" s="1" t="s">
        <v>18</v>
      </c>
      <c r="E5" s="1" t="s">
        <v>19</v>
      </c>
      <c r="F5" s="3" t="s">
        <v>20</v>
      </c>
      <c r="G5" s="5"/>
      <c r="H5" s="4" t="s">
        <v>57</v>
      </c>
      <c r="I5" s="4"/>
      <c r="J5" s="3"/>
      <c r="K5" s="5" t="s">
        <v>36</v>
      </c>
      <c r="L5" s="2"/>
      <c r="M5" s="6">
        <v>450</v>
      </c>
      <c r="N5" s="6">
        <v>492.5</v>
      </c>
      <c r="O5" s="7">
        <v>0.05</v>
      </c>
      <c r="P5" s="8" t="s">
        <v>25</v>
      </c>
      <c r="Q5" s="3">
        <v>60</v>
      </c>
      <c r="R5" s="14">
        <v>2567</v>
      </c>
      <c r="S5" s="28">
        <v>1150855.6499999999</v>
      </c>
      <c r="T5" s="11">
        <v>1411.55</v>
      </c>
      <c r="U5" s="28">
        <v>740462.34999999986</v>
      </c>
      <c r="V5" s="11">
        <v>244.25</v>
      </c>
      <c r="W5" s="28">
        <v>135768.65000000002</v>
      </c>
      <c r="X5" s="63">
        <f t="shared" si="0"/>
        <v>-0.356598414405838</v>
      </c>
      <c r="Z5" s="68"/>
      <c r="AA5" s="2" t="s">
        <v>157</v>
      </c>
      <c r="AB5" s="2">
        <v>1100</v>
      </c>
      <c r="AC5" s="20">
        <v>110201.96</v>
      </c>
      <c r="AD5" s="2">
        <v>160</v>
      </c>
      <c r="AE5" s="20">
        <v>17480.169999999998</v>
      </c>
      <c r="AF5" s="2"/>
      <c r="AG5" s="20"/>
    </row>
    <row r="6" spans="1:33" x14ac:dyDescent="0.3">
      <c r="A6" s="11">
        <v>4</v>
      </c>
      <c r="B6" s="5" t="s">
        <v>58</v>
      </c>
      <c r="C6" s="2">
        <v>2023</v>
      </c>
      <c r="D6" s="1" t="s">
        <v>18</v>
      </c>
      <c r="E6" s="1" t="s">
        <v>19</v>
      </c>
      <c r="F6" s="3" t="s">
        <v>20</v>
      </c>
      <c r="G6" s="5"/>
      <c r="H6" s="4" t="s">
        <v>57</v>
      </c>
      <c r="I6" s="4"/>
      <c r="J6" s="3"/>
      <c r="K6" s="5" t="s">
        <v>36</v>
      </c>
      <c r="L6" s="2"/>
      <c r="M6" s="6">
        <v>350</v>
      </c>
      <c r="N6" s="6">
        <v>392.5</v>
      </c>
      <c r="O6" s="7">
        <v>0.05</v>
      </c>
      <c r="P6" s="8" t="s">
        <v>28</v>
      </c>
      <c r="Q6" s="9">
        <v>61</v>
      </c>
      <c r="R6" s="14">
        <v>2232</v>
      </c>
      <c r="S6" s="28">
        <v>781341.82</v>
      </c>
      <c r="T6" s="11">
        <v>1021.8500000000001</v>
      </c>
      <c r="U6" s="28">
        <v>431492.7900000001</v>
      </c>
      <c r="V6" s="11">
        <v>111.35</v>
      </c>
      <c r="W6" s="28">
        <v>53165.840000000004</v>
      </c>
      <c r="X6" s="63">
        <f t="shared" si="0"/>
        <v>-0.44775413403572828</v>
      </c>
      <c r="Z6" s="68"/>
      <c r="AA6" s="2" t="s">
        <v>143</v>
      </c>
      <c r="AB6" s="2">
        <v>0</v>
      </c>
      <c r="AC6" s="20">
        <v>0</v>
      </c>
      <c r="AD6" s="2">
        <v>450</v>
      </c>
      <c r="AE6" s="20">
        <v>49162.6</v>
      </c>
      <c r="AF6" s="2"/>
      <c r="AG6" s="20"/>
    </row>
    <row r="7" spans="1:33" x14ac:dyDescent="0.3">
      <c r="A7" s="11">
        <v>5</v>
      </c>
      <c r="B7" s="5" t="s">
        <v>59</v>
      </c>
      <c r="C7" s="2">
        <v>2023</v>
      </c>
      <c r="D7" s="1" t="s">
        <v>18</v>
      </c>
      <c r="E7" s="1" t="s">
        <v>19</v>
      </c>
      <c r="F7" s="3" t="s">
        <v>20</v>
      </c>
      <c r="G7" s="5"/>
      <c r="H7" s="4" t="s">
        <v>57</v>
      </c>
      <c r="I7" s="4"/>
      <c r="J7" s="3"/>
      <c r="K7" s="5" t="s">
        <v>36</v>
      </c>
      <c r="L7" s="2"/>
      <c r="M7" s="6">
        <v>350</v>
      </c>
      <c r="N7" s="6">
        <v>392.5</v>
      </c>
      <c r="O7" s="7">
        <v>0.05</v>
      </c>
      <c r="P7" s="8" t="s">
        <v>28</v>
      </c>
      <c r="Q7" s="3">
        <v>62</v>
      </c>
      <c r="R7" s="14">
        <v>3761</v>
      </c>
      <c r="S7" s="28">
        <v>1320672.5499999998</v>
      </c>
      <c r="T7" s="11">
        <v>3173.3</v>
      </c>
      <c r="U7" s="28">
        <v>1340723.1000000001</v>
      </c>
      <c r="V7" s="11">
        <v>583.69999999999993</v>
      </c>
      <c r="W7" s="28">
        <v>278676.77</v>
      </c>
      <c r="X7" s="63">
        <f t="shared" si="0"/>
        <v>1.5182075223718615E-2</v>
      </c>
      <c r="Z7" s="68"/>
      <c r="AA7" s="2" t="s">
        <v>144</v>
      </c>
      <c r="AB7" s="2">
        <v>3000</v>
      </c>
      <c r="AC7" s="20">
        <v>303325.71999999991</v>
      </c>
      <c r="AD7" s="2">
        <v>1920</v>
      </c>
      <c r="AE7" s="20">
        <v>213090.83999999997</v>
      </c>
      <c r="AF7" s="2">
        <v>50</v>
      </c>
      <c r="AG7" s="20">
        <v>6175</v>
      </c>
    </row>
    <row r="8" spans="1:33" x14ac:dyDescent="0.3">
      <c r="A8" s="11">
        <v>6</v>
      </c>
      <c r="B8" s="1" t="s">
        <v>60</v>
      </c>
      <c r="C8" s="2">
        <v>2023</v>
      </c>
      <c r="D8" s="1" t="s">
        <v>50</v>
      </c>
      <c r="E8" s="1" t="s">
        <v>35</v>
      </c>
      <c r="F8" s="3" t="s">
        <v>51</v>
      </c>
      <c r="G8" s="5"/>
      <c r="H8" s="4" t="s">
        <v>53</v>
      </c>
      <c r="I8" s="4"/>
      <c r="J8" s="3"/>
      <c r="K8" s="5" t="s">
        <v>36</v>
      </c>
      <c r="L8" s="2"/>
      <c r="M8" s="6">
        <v>170</v>
      </c>
      <c r="N8" s="6">
        <v>166</v>
      </c>
      <c r="O8" s="7">
        <v>0.05</v>
      </c>
      <c r="P8" s="8" t="s">
        <v>28</v>
      </c>
      <c r="Q8" s="9">
        <v>63</v>
      </c>
      <c r="R8" s="14">
        <v>9174.5</v>
      </c>
      <c r="S8" s="28">
        <v>1464430.9299999995</v>
      </c>
      <c r="T8" s="11">
        <v>3032</v>
      </c>
      <c r="U8" s="28">
        <v>514189.73</v>
      </c>
      <c r="V8" s="11">
        <v>392.5</v>
      </c>
      <c r="W8" s="28">
        <v>70984.240000000005</v>
      </c>
      <c r="X8" s="63">
        <f t="shared" si="0"/>
        <v>-0.64888085913345184</v>
      </c>
      <c r="Z8" s="68"/>
      <c r="AA8" s="2" t="s">
        <v>145</v>
      </c>
      <c r="AB8" s="2">
        <v>4920</v>
      </c>
      <c r="AC8" s="20">
        <v>496709.49000000005</v>
      </c>
      <c r="AD8" s="2">
        <v>465</v>
      </c>
      <c r="AE8" s="20">
        <v>50445.429999999993</v>
      </c>
      <c r="AF8" s="2"/>
      <c r="AG8" s="20"/>
    </row>
    <row r="9" spans="1:33" x14ac:dyDescent="0.3">
      <c r="A9" s="11">
        <v>7</v>
      </c>
      <c r="B9" s="1" t="s">
        <v>61</v>
      </c>
      <c r="C9" s="2">
        <v>2023</v>
      </c>
      <c r="D9" s="1" t="s">
        <v>50</v>
      </c>
      <c r="E9" s="1" t="s">
        <v>35</v>
      </c>
      <c r="F9" s="3" t="s">
        <v>51</v>
      </c>
      <c r="G9" s="5"/>
      <c r="H9" s="4" t="s">
        <v>53</v>
      </c>
      <c r="I9" s="4"/>
      <c r="J9" s="3"/>
      <c r="K9" s="5" t="s">
        <v>36</v>
      </c>
      <c r="L9" s="2"/>
      <c r="M9" s="6">
        <v>190</v>
      </c>
      <c r="N9" s="6">
        <v>186</v>
      </c>
      <c r="O9" s="7">
        <v>0.05</v>
      </c>
      <c r="P9" s="8" t="s">
        <v>28</v>
      </c>
      <c r="Q9" s="9">
        <v>64</v>
      </c>
      <c r="R9" s="14">
        <v>7856.5</v>
      </c>
      <c r="S9" s="28">
        <v>1400422.54</v>
      </c>
      <c r="T9" s="11">
        <v>3846.5</v>
      </c>
      <c r="U9" s="28">
        <v>723950.5199999999</v>
      </c>
      <c r="V9" s="11">
        <v>571</v>
      </c>
      <c r="W9" s="28">
        <v>114066.69</v>
      </c>
      <c r="X9" s="63">
        <f t="shared" si="0"/>
        <v>-0.48304850905927299</v>
      </c>
      <c r="Z9" s="68"/>
      <c r="AA9" s="2" t="s">
        <v>81</v>
      </c>
      <c r="AB9" s="2">
        <v>12245</v>
      </c>
      <c r="AC9" s="20">
        <v>1263357.3599999999</v>
      </c>
      <c r="AD9" s="2">
        <v>6060</v>
      </c>
      <c r="AE9" s="20">
        <v>680137.94000000029</v>
      </c>
      <c r="AF9" s="2">
        <v>350</v>
      </c>
      <c r="AG9" s="20">
        <v>41800.36</v>
      </c>
    </row>
    <row r="10" spans="1:33" x14ac:dyDescent="0.3">
      <c r="A10" s="11">
        <v>8</v>
      </c>
      <c r="B10" s="1" t="s">
        <v>62</v>
      </c>
      <c r="C10" s="2">
        <v>2023</v>
      </c>
      <c r="D10" s="1" t="s">
        <v>50</v>
      </c>
      <c r="E10" s="1" t="s">
        <v>35</v>
      </c>
      <c r="F10" s="3" t="s">
        <v>51</v>
      </c>
      <c r="G10" s="5"/>
      <c r="H10" s="4" t="s">
        <v>53</v>
      </c>
      <c r="I10" s="4"/>
      <c r="J10" s="3"/>
      <c r="K10" s="5" t="s">
        <v>36</v>
      </c>
      <c r="L10" s="2"/>
      <c r="M10" s="6">
        <v>210</v>
      </c>
      <c r="N10" s="6">
        <v>205.66666666666666</v>
      </c>
      <c r="O10" s="7">
        <v>0.05</v>
      </c>
      <c r="P10" s="8" t="s">
        <v>28</v>
      </c>
      <c r="Q10" s="9">
        <v>65</v>
      </c>
      <c r="R10" s="14">
        <v>11460</v>
      </c>
      <c r="S10" s="28">
        <v>2252401.5099999998</v>
      </c>
      <c r="T10" s="11">
        <v>9242</v>
      </c>
      <c r="U10" s="28">
        <v>1886396.4500000002</v>
      </c>
      <c r="V10" s="11">
        <v>2804</v>
      </c>
      <c r="W10" s="28">
        <v>597669.81999999995</v>
      </c>
      <c r="X10" s="63">
        <f t="shared" si="0"/>
        <v>-0.16249547799317521</v>
      </c>
      <c r="Z10" s="68"/>
      <c r="AA10" s="2" t="s">
        <v>146</v>
      </c>
      <c r="AB10" s="2">
        <v>5860</v>
      </c>
      <c r="AC10" s="20">
        <v>585367.00999999989</v>
      </c>
      <c r="AD10" s="2">
        <v>455</v>
      </c>
      <c r="AE10" s="20">
        <v>51237.099999999991</v>
      </c>
      <c r="AF10" s="2">
        <v>50</v>
      </c>
      <c r="AG10" s="20">
        <v>6175.24</v>
      </c>
    </row>
    <row r="11" spans="1:33" x14ac:dyDescent="0.3">
      <c r="A11" s="11">
        <v>9</v>
      </c>
      <c r="B11" s="1" t="s">
        <v>63</v>
      </c>
      <c r="C11" s="2">
        <v>2023</v>
      </c>
      <c r="D11" s="1" t="s">
        <v>64</v>
      </c>
      <c r="E11" s="1" t="s">
        <v>65</v>
      </c>
      <c r="F11" s="3" t="s">
        <v>40</v>
      </c>
      <c r="G11" s="5"/>
      <c r="H11" s="4" t="s">
        <v>66</v>
      </c>
      <c r="I11" s="4"/>
      <c r="J11" s="2"/>
      <c r="K11" s="10"/>
      <c r="L11" s="11"/>
      <c r="M11" s="11">
        <v>140</v>
      </c>
      <c r="N11" s="11">
        <v>140</v>
      </c>
      <c r="O11" s="12">
        <v>0.05</v>
      </c>
      <c r="P11" s="8" t="s">
        <v>42</v>
      </c>
      <c r="Q11" s="2"/>
      <c r="R11" s="14">
        <v>5656</v>
      </c>
      <c r="S11" s="28">
        <v>752844.3199999996</v>
      </c>
      <c r="T11" s="11">
        <v>40144</v>
      </c>
      <c r="U11" s="28">
        <v>5317193.13</v>
      </c>
      <c r="V11" s="11">
        <v>3644</v>
      </c>
      <c r="W11" s="28">
        <v>475644.20000000007</v>
      </c>
      <c r="X11" s="63">
        <f t="shared" si="0"/>
        <v>6.0628056674452999</v>
      </c>
      <c r="Z11" s="68"/>
      <c r="AA11" s="2" t="s">
        <v>151</v>
      </c>
      <c r="AB11" s="2">
        <v>17</v>
      </c>
      <c r="AC11" s="20">
        <v>1780.65</v>
      </c>
      <c r="AD11" s="2">
        <v>13</v>
      </c>
      <c r="AE11" s="20">
        <v>1482.01</v>
      </c>
      <c r="AF11" s="2"/>
      <c r="AG11" s="20"/>
    </row>
    <row r="12" spans="1:33" x14ac:dyDescent="0.3">
      <c r="A12" s="11">
        <v>10</v>
      </c>
      <c r="B12" s="1" t="s">
        <v>67</v>
      </c>
      <c r="C12" s="2">
        <v>2023</v>
      </c>
      <c r="D12" s="1" t="s">
        <v>64</v>
      </c>
      <c r="E12" s="1" t="s">
        <v>35</v>
      </c>
      <c r="F12" s="3" t="s">
        <v>68</v>
      </c>
      <c r="G12" s="5"/>
      <c r="H12" s="4" t="s">
        <v>66</v>
      </c>
      <c r="I12" s="4"/>
      <c r="J12" s="2"/>
      <c r="K12" s="10"/>
      <c r="L12" s="11"/>
      <c r="M12" s="11">
        <v>4250</v>
      </c>
      <c r="N12" s="11">
        <v>4200</v>
      </c>
      <c r="O12" s="7">
        <v>0.05</v>
      </c>
      <c r="P12" s="11" t="s">
        <v>69</v>
      </c>
      <c r="Q12" s="2"/>
      <c r="R12" s="14">
        <v>331</v>
      </c>
      <c r="S12" s="28">
        <v>1336720.98</v>
      </c>
      <c r="T12" s="11">
        <v>778.60000000000014</v>
      </c>
      <c r="U12" s="28">
        <v>3157710.8200000003</v>
      </c>
      <c r="V12" s="11">
        <v>100.69999999999999</v>
      </c>
      <c r="W12" s="28">
        <v>355831.73000000004</v>
      </c>
      <c r="X12" s="63">
        <f t="shared" si="0"/>
        <v>1.3622811845146623</v>
      </c>
      <c r="Z12" s="68"/>
      <c r="AA12" s="2" t="s">
        <v>147</v>
      </c>
      <c r="AB12" s="2">
        <v>20</v>
      </c>
      <c r="AC12" s="20">
        <v>2089.48</v>
      </c>
      <c r="AD12" s="2">
        <v>15</v>
      </c>
      <c r="AE12" s="20">
        <v>1686.25</v>
      </c>
      <c r="AF12" s="2">
        <v>54</v>
      </c>
      <c r="AG12" s="20">
        <v>6574.14</v>
      </c>
    </row>
    <row r="13" spans="1:33" x14ac:dyDescent="0.3">
      <c r="A13" s="11">
        <v>11</v>
      </c>
      <c r="B13" s="1" t="s">
        <v>70</v>
      </c>
      <c r="C13" s="2">
        <v>2023</v>
      </c>
      <c r="D13" s="1" t="s">
        <v>50</v>
      </c>
      <c r="E13" s="1" t="s">
        <v>35</v>
      </c>
      <c r="F13" s="3" t="s">
        <v>51</v>
      </c>
      <c r="G13" s="5"/>
      <c r="H13" s="4" t="s">
        <v>53</v>
      </c>
      <c r="I13" s="4"/>
      <c r="J13" s="2"/>
      <c r="K13" s="10"/>
      <c r="L13" s="11"/>
      <c r="M13" s="11">
        <v>200</v>
      </c>
      <c r="N13" s="11">
        <v>200</v>
      </c>
      <c r="O13" s="7">
        <v>0.05</v>
      </c>
      <c r="P13" s="8" t="s">
        <v>28</v>
      </c>
      <c r="Q13" s="13"/>
      <c r="R13" s="14">
        <v>5119.5</v>
      </c>
      <c r="S13" s="28">
        <v>878068.61</v>
      </c>
      <c r="T13" s="11">
        <v>25813.84</v>
      </c>
      <c r="U13" s="28">
        <v>5309043.3599999994</v>
      </c>
      <c r="V13" s="11">
        <v>8730.5</v>
      </c>
      <c r="W13" s="28">
        <v>1869127.6</v>
      </c>
      <c r="X13" s="63">
        <f t="shared" si="0"/>
        <v>5.0462739466338506</v>
      </c>
      <c r="Z13" s="68"/>
      <c r="AA13" s="2" t="s">
        <v>148</v>
      </c>
      <c r="AB13" s="2">
        <v>5800</v>
      </c>
      <c r="AC13" s="20">
        <v>563826.24</v>
      </c>
      <c r="AD13" s="2">
        <v>4935</v>
      </c>
      <c r="AE13" s="20">
        <v>518843.98000000004</v>
      </c>
      <c r="AF13" s="2"/>
      <c r="AG13" s="20"/>
    </row>
    <row r="14" spans="1:33" x14ac:dyDescent="0.3">
      <c r="A14" s="11">
        <v>12</v>
      </c>
      <c r="B14" s="1" t="s">
        <v>71</v>
      </c>
      <c r="C14" s="2">
        <v>2023</v>
      </c>
      <c r="D14" s="1" t="s">
        <v>50</v>
      </c>
      <c r="E14" s="1" t="s">
        <v>35</v>
      </c>
      <c r="F14" s="3" t="s">
        <v>51</v>
      </c>
      <c r="G14" s="5"/>
      <c r="H14" s="4" t="s">
        <v>53</v>
      </c>
      <c r="I14" s="4"/>
      <c r="J14" s="2"/>
      <c r="K14" s="10"/>
      <c r="L14" s="11"/>
      <c r="M14" s="11">
        <v>210</v>
      </c>
      <c r="N14" s="11">
        <v>210</v>
      </c>
      <c r="O14" s="7">
        <v>0.05</v>
      </c>
      <c r="P14" s="8" t="s">
        <v>28</v>
      </c>
      <c r="Q14" s="13"/>
      <c r="R14" s="14">
        <v>4110</v>
      </c>
      <c r="S14" s="28">
        <v>734754.58000000031</v>
      </c>
      <c r="T14" s="11">
        <v>10368</v>
      </c>
      <c r="U14" s="28">
        <v>2004972.2399999998</v>
      </c>
      <c r="V14" s="11">
        <v>2408.5</v>
      </c>
      <c r="W14" s="28">
        <v>486964.47</v>
      </c>
      <c r="X14" s="63">
        <f t="shared" si="0"/>
        <v>1.7287645352275298</v>
      </c>
      <c r="Z14" s="68"/>
      <c r="AA14" s="2" t="s">
        <v>82</v>
      </c>
      <c r="AB14" s="2">
        <v>4955</v>
      </c>
      <c r="AC14" s="20">
        <v>499845.85999999987</v>
      </c>
      <c r="AD14" s="2">
        <v>1491</v>
      </c>
      <c r="AE14" s="20">
        <v>167212.04999999999</v>
      </c>
      <c r="AF14" s="2">
        <v>159</v>
      </c>
      <c r="AG14" s="20">
        <v>19208.899999999998</v>
      </c>
    </row>
    <row r="15" spans="1:33" x14ac:dyDescent="0.3">
      <c r="A15" s="11">
        <v>13</v>
      </c>
      <c r="B15" s="1" t="s">
        <v>72</v>
      </c>
      <c r="C15" s="2">
        <v>2023</v>
      </c>
      <c r="D15" s="1" t="s">
        <v>50</v>
      </c>
      <c r="E15" s="1" t="s">
        <v>35</v>
      </c>
      <c r="F15" s="3" t="s">
        <v>51</v>
      </c>
      <c r="G15" s="5"/>
      <c r="H15" s="4" t="s">
        <v>53</v>
      </c>
      <c r="I15" s="4"/>
      <c r="J15" s="2"/>
      <c r="K15" s="10"/>
      <c r="L15" s="11"/>
      <c r="M15" s="11">
        <v>240</v>
      </c>
      <c r="N15" s="11">
        <v>240</v>
      </c>
      <c r="O15" s="7">
        <v>0.05</v>
      </c>
      <c r="P15" s="8" t="s">
        <v>28</v>
      </c>
      <c r="Q15" s="13"/>
      <c r="R15" s="14">
        <v>4602.5</v>
      </c>
      <c r="S15" s="28">
        <v>953082.05</v>
      </c>
      <c r="T15" s="11">
        <v>10475.5</v>
      </c>
      <c r="U15" s="28">
        <v>2236105.35</v>
      </c>
      <c r="V15" s="11">
        <v>2624</v>
      </c>
      <c r="W15" s="28">
        <v>578531.12</v>
      </c>
      <c r="X15" s="63">
        <f t="shared" si="0"/>
        <v>1.3461834686740768</v>
      </c>
      <c r="Z15" s="68"/>
      <c r="AA15" s="2" t="s">
        <v>150</v>
      </c>
      <c r="AB15" s="2">
        <v>225</v>
      </c>
      <c r="AC15" s="20">
        <v>23512.379999999997</v>
      </c>
      <c r="AD15" s="2">
        <v>0</v>
      </c>
      <c r="AE15" s="20">
        <v>0</v>
      </c>
      <c r="AF15" s="2"/>
      <c r="AG15" s="20"/>
    </row>
    <row r="16" spans="1:33" x14ac:dyDescent="0.3">
      <c r="A16" s="66" t="s">
        <v>164</v>
      </c>
      <c r="B16" s="66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3">
        <f>SUM(R3:R15)</f>
        <v>95987</v>
      </c>
      <c r="S16" s="44">
        <f t="shared" ref="S16:W16" si="1">SUM(S3:S15)</f>
        <v>17060518.560000006</v>
      </c>
      <c r="T16" s="43">
        <f t="shared" si="1"/>
        <v>125818.14</v>
      </c>
      <c r="U16" s="44">
        <f t="shared" si="1"/>
        <v>25576300.609999999</v>
      </c>
      <c r="V16" s="43">
        <f t="shared" si="1"/>
        <v>22928.5</v>
      </c>
      <c r="W16" s="44">
        <f t="shared" si="1"/>
        <v>5124381.83</v>
      </c>
      <c r="X16" s="64">
        <f t="shared" si="0"/>
        <v>0.49915141911137723</v>
      </c>
      <c r="Z16" s="66" t="s">
        <v>112</v>
      </c>
      <c r="AA16" s="66"/>
      <c r="AB16" s="42">
        <f>SUM(AB2:AB15)</f>
        <v>38987</v>
      </c>
      <c r="AC16" s="45">
        <f t="shared" ref="AC16:AG16" si="2">SUM(AC2:AC15)</f>
        <v>3937748.1699999995</v>
      </c>
      <c r="AD16" s="42">
        <f t="shared" si="2"/>
        <v>16357</v>
      </c>
      <c r="AE16" s="45">
        <f t="shared" si="2"/>
        <v>1795200.7600000005</v>
      </c>
      <c r="AF16" s="42">
        <f t="shared" si="2"/>
        <v>681</v>
      </c>
      <c r="AG16" s="45">
        <f t="shared" si="2"/>
        <v>82156.639999999999</v>
      </c>
    </row>
    <row r="17" spans="26:33" x14ac:dyDescent="0.3">
      <c r="Z17" s="68" t="s">
        <v>113</v>
      </c>
      <c r="AA17" s="2" t="s">
        <v>140</v>
      </c>
      <c r="AB17" s="2">
        <v>30</v>
      </c>
      <c r="AC17" s="20">
        <v>22229.98</v>
      </c>
      <c r="AD17" s="2">
        <v>-30</v>
      </c>
      <c r="AE17" s="20">
        <v>-22230.16</v>
      </c>
      <c r="AF17" s="2"/>
      <c r="AG17" s="20"/>
    </row>
    <row r="18" spans="26:33" x14ac:dyDescent="0.3">
      <c r="Z18" s="68"/>
      <c r="AA18" s="2" t="s">
        <v>141</v>
      </c>
      <c r="AB18" s="2">
        <v>0</v>
      </c>
      <c r="AC18" s="20">
        <v>0</v>
      </c>
      <c r="AD18" s="2">
        <v>10</v>
      </c>
      <c r="AE18" s="20">
        <v>7315.2</v>
      </c>
      <c r="AF18" s="2"/>
      <c r="AG18" s="20"/>
    </row>
    <row r="19" spans="26:33" x14ac:dyDescent="0.3">
      <c r="Z19" s="68"/>
      <c r="AA19" s="2" t="s">
        <v>159</v>
      </c>
      <c r="AB19" s="2">
        <v>0</v>
      </c>
      <c r="AC19" s="20">
        <v>0</v>
      </c>
      <c r="AD19" s="2">
        <v>10</v>
      </c>
      <c r="AE19" s="20">
        <v>7884.89</v>
      </c>
      <c r="AF19" s="2">
        <v>30</v>
      </c>
      <c r="AG19" s="20">
        <v>23656.559999999998</v>
      </c>
    </row>
    <row r="20" spans="26:33" x14ac:dyDescent="0.3">
      <c r="Z20" s="68"/>
      <c r="AA20" s="2" t="s">
        <v>143</v>
      </c>
      <c r="AB20" s="2">
        <v>25</v>
      </c>
      <c r="AC20" s="20">
        <v>19712.509999999998</v>
      </c>
      <c r="AD20" s="2">
        <v>0</v>
      </c>
      <c r="AE20" s="20">
        <v>0</v>
      </c>
      <c r="AF20" s="2"/>
      <c r="AG20" s="20"/>
    </row>
    <row r="21" spans="26:33" x14ac:dyDescent="0.3">
      <c r="Z21" s="68"/>
      <c r="AA21" s="2" t="s">
        <v>144</v>
      </c>
      <c r="AB21" s="2">
        <v>0</v>
      </c>
      <c r="AC21" s="20">
        <v>0</v>
      </c>
      <c r="AD21" s="2">
        <v>30</v>
      </c>
      <c r="AE21" s="20">
        <v>22815.200000000001</v>
      </c>
      <c r="AF21" s="2"/>
      <c r="AG21" s="20"/>
    </row>
    <row r="22" spans="26:33" x14ac:dyDescent="0.3">
      <c r="Z22" s="68"/>
      <c r="AA22" s="2" t="s">
        <v>152</v>
      </c>
      <c r="AB22" s="2">
        <v>0</v>
      </c>
      <c r="AC22" s="20">
        <v>0</v>
      </c>
      <c r="AD22" s="2">
        <v>115</v>
      </c>
      <c r="AE22" s="20">
        <v>88967.39</v>
      </c>
      <c r="AF22" s="2"/>
      <c r="AG22" s="20"/>
    </row>
    <row r="23" spans="26:33" x14ac:dyDescent="0.3">
      <c r="Z23" s="68"/>
      <c r="AA23" s="2" t="s">
        <v>145</v>
      </c>
      <c r="AB23" s="2">
        <v>10</v>
      </c>
      <c r="AC23" s="20">
        <v>7742.36</v>
      </c>
      <c r="AD23" s="2">
        <v>0</v>
      </c>
      <c r="AE23" s="20">
        <v>0</v>
      </c>
      <c r="AF23" s="2"/>
      <c r="AG23" s="20"/>
    </row>
    <row r="24" spans="26:33" x14ac:dyDescent="0.3">
      <c r="Z24" s="68"/>
      <c r="AA24" s="2" t="s">
        <v>146</v>
      </c>
      <c r="AB24" s="2">
        <v>10</v>
      </c>
      <c r="AC24" s="20">
        <v>7600.01</v>
      </c>
      <c r="AD24" s="2">
        <v>0</v>
      </c>
      <c r="AE24" s="20">
        <v>0</v>
      </c>
      <c r="AF24" s="2"/>
      <c r="AG24" s="20"/>
    </row>
    <row r="25" spans="26:33" x14ac:dyDescent="0.3">
      <c r="Z25" s="68"/>
      <c r="AA25" s="2" t="s">
        <v>160</v>
      </c>
      <c r="AB25" s="2">
        <v>0</v>
      </c>
      <c r="AC25" s="20">
        <v>0</v>
      </c>
      <c r="AD25" s="2">
        <v>5</v>
      </c>
      <c r="AE25" s="20">
        <v>3942.5</v>
      </c>
      <c r="AF25" s="2"/>
      <c r="AG25" s="20"/>
    </row>
    <row r="26" spans="26:33" x14ac:dyDescent="0.3">
      <c r="Z26" s="68"/>
      <c r="AA26" s="2" t="s">
        <v>147</v>
      </c>
      <c r="AB26" s="2">
        <v>0</v>
      </c>
      <c r="AC26" s="20">
        <v>0</v>
      </c>
      <c r="AD26" s="2">
        <v>4</v>
      </c>
      <c r="AE26" s="20">
        <v>2850.02</v>
      </c>
      <c r="AF26" s="2">
        <v>3</v>
      </c>
      <c r="AG26" s="20">
        <v>2137.5</v>
      </c>
    </row>
    <row r="27" spans="26:33" x14ac:dyDescent="0.3">
      <c r="Z27" s="68"/>
      <c r="AA27" s="2" t="s">
        <v>150</v>
      </c>
      <c r="AB27" s="2">
        <v>55</v>
      </c>
      <c r="AC27" s="20">
        <v>39805.119999999995</v>
      </c>
      <c r="AD27" s="2">
        <v>10</v>
      </c>
      <c r="AE27" s="20">
        <v>7314.97</v>
      </c>
      <c r="AF27" s="2"/>
      <c r="AG27" s="20"/>
    </row>
    <row r="28" spans="26:33" x14ac:dyDescent="0.3">
      <c r="Z28" s="66" t="s">
        <v>114</v>
      </c>
      <c r="AA28" s="66"/>
      <c r="AB28" s="42">
        <f>SUM(AB17:AB27)</f>
        <v>130</v>
      </c>
      <c r="AC28" s="45">
        <f t="shared" ref="AC28:AG28" si="3">SUM(AC17:AC27)</f>
        <v>97089.98</v>
      </c>
      <c r="AD28" s="42">
        <f t="shared" si="3"/>
        <v>154</v>
      </c>
      <c r="AE28" s="45">
        <f t="shared" si="3"/>
        <v>118860.01000000001</v>
      </c>
      <c r="AF28" s="42">
        <f t="shared" si="3"/>
        <v>33</v>
      </c>
      <c r="AG28" s="45">
        <f t="shared" si="3"/>
        <v>25794.059999999998</v>
      </c>
    </row>
    <row r="29" spans="26:33" x14ac:dyDescent="0.3">
      <c r="Z29" s="68" t="s">
        <v>115</v>
      </c>
      <c r="AA29" s="2" t="s">
        <v>140</v>
      </c>
      <c r="AB29" s="2">
        <v>60</v>
      </c>
      <c r="AC29" s="20">
        <v>25839.77</v>
      </c>
      <c r="AD29" s="2">
        <v>50</v>
      </c>
      <c r="AE29" s="20">
        <v>25080.19</v>
      </c>
      <c r="AF29" s="2">
        <v>20</v>
      </c>
      <c r="AG29" s="20">
        <v>10450.09</v>
      </c>
    </row>
    <row r="30" spans="26:33" x14ac:dyDescent="0.3">
      <c r="Z30" s="68"/>
      <c r="AA30" s="2" t="s">
        <v>156</v>
      </c>
      <c r="AB30" s="2">
        <v>0</v>
      </c>
      <c r="AC30" s="20">
        <v>0</v>
      </c>
      <c r="AD30" s="2">
        <v>11.15</v>
      </c>
      <c r="AE30" s="20">
        <v>6835.16</v>
      </c>
      <c r="AF30" s="2">
        <v>3.0500000000000007</v>
      </c>
      <c r="AG30" s="20">
        <v>1971.04</v>
      </c>
    </row>
    <row r="31" spans="26:33" x14ac:dyDescent="0.3">
      <c r="Z31" s="68"/>
      <c r="AA31" s="2" t="s">
        <v>141</v>
      </c>
      <c r="AB31" s="2">
        <v>100</v>
      </c>
      <c r="AC31" s="20">
        <v>45791.34</v>
      </c>
      <c r="AD31" s="2">
        <v>271.80000000000007</v>
      </c>
      <c r="AE31" s="20">
        <v>139149.08000000002</v>
      </c>
      <c r="AF31" s="2">
        <v>32.4</v>
      </c>
      <c r="AG31" s="20">
        <v>18220.720000000005</v>
      </c>
    </row>
    <row r="32" spans="26:33" x14ac:dyDescent="0.3">
      <c r="Z32" s="68"/>
      <c r="AA32" s="2" t="s">
        <v>158</v>
      </c>
      <c r="AB32" s="2">
        <v>0</v>
      </c>
      <c r="AC32" s="20">
        <v>0</v>
      </c>
      <c r="AD32" s="2">
        <v>60</v>
      </c>
      <c r="AE32" s="20">
        <v>30344.93</v>
      </c>
      <c r="AF32" s="2">
        <v>20</v>
      </c>
      <c r="AG32" s="20">
        <v>10449.959999999999</v>
      </c>
    </row>
    <row r="33" spans="18:33" x14ac:dyDescent="0.3">
      <c r="Z33" s="68"/>
      <c r="AA33" s="2" t="s">
        <v>157</v>
      </c>
      <c r="AB33" s="2">
        <v>0</v>
      </c>
      <c r="AC33" s="20">
        <v>0</v>
      </c>
      <c r="AD33" s="2">
        <v>150</v>
      </c>
      <c r="AE33" s="20">
        <v>74385.070000000007</v>
      </c>
      <c r="AF33" s="2"/>
      <c r="AG33" s="20"/>
    </row>
    <row r="34" spans="18:33" x14ac:dyDescent="0.3">
      <c r="Z34" s="68"/>
      <c r="AA34" s="2" t="s">
        <v>153</v>
      </c>
      <c r="AB34" s="2">
        <v>0</v>
      </c>
      <c r="AC34" s="20">
        <v>0</v>
      </c>
      <c r="AD34" s="2">
        <v>60</v>
      </c>
      <c r="AE34" s="20">
        <v>30210.06</v>
      </c>
      <c r="AF34" s="2"/>
      <c r="AG34" s="20"/>
    </row>
    <row r="35" spans="18:33" x14ac:dyDescent="0.3">
      <c r="Z35" s="68"/>
      <c r="AA35" s="2" t="s">
        <v>159</v>
      </c>
      <c r="AB35" s="2">
        <v>0</v>
      </c>
      <c r="AC35" s="20">
        <v>0</v>
      </c>
      <c r="AD35" s="2">
        <v>5</v>
      </c>
      <c r="AE35" s="20">
        <v>3087.62</v>
      </c>
      <c r="AF35" s="2"/>
      <c r="AG35" s="20"/>
    </row>
    <row r="36" spans="18:33" x14ac:dyDescent="0.3">
      <c r="Z36" s="68"/>
      <c r="AA36" s="2" t="s">
        <v>143</v>
      </c>
      <c r="AB36" s="2">
        <v>225</v>
      </c>
      <c r="AC36" s="20">
        <v>110437.29</v>
      </c>
      <c r="AD36" s="2">
        <v>150</v>
      </c>
      <c r="AE36" s="20">
        <v>84074.240000000005</v>
      </c>
      <c r="AF36" s="2">
        <v>50</v>
      </c>
      <c r="AG36" s="20">
        <v>29450.02</v>
      </c>
    </row>
    <row r="37" spans="18:33" x14ac:dyDescent="0.3">
      <c r="Z37" s="68"/>
      <c r="AA37" s="2" t="s">
        <v>144</v>
      </c>
      <c r="AB37" s="2">
        <v>0</v>
      </c>
      <c r="AC37" s="20">
        <v>0</v>
      </c>
      <c r="AD37" s="2">
        <v>30</v>
      </c>
      <c r="AE37" s="20">
        <v>15390.62</v>
      </c>
      <c r="AF37" s="2">
        <v>20</v>
      </c>
      <c r="AG37" s="20">
        <v>10544.85</v>
      </c>
    </row>
    <row r="38" spans="18:33" x14ac:dyDescent="0.3">
      <c r="Z38" s="68"/>
      <c r="AA38" s="2" t="s">
        <v>145</v>
      </c>
      <c r="AB38" s="2">
        <v>527</v>
      </c>
      <c r="AC38" s="20">
        <v>239545.38</v>
      </c>
      <c r="AD38" s="2">
        <v>245</v>
      </c>
      <c r="AE38" s="20">
        <v>127636.16</v>
      </c>
      <c r="AF38" s="2">
        <v>30</v>
      </c>
      <c r="AG38" s="20">
        <v>16244.74</v>
      </c>
    </row>
    <row r="39" spans="18:33" x14ac:dyDescent="0.3">
      <c r="Z39" s="68"/>
      <c r="AA39" s="2" t="s">
        <v>81</v>
      </c>
      <c r="AB39" s="2">
        <v>120</v>
      </c>
      <c r="AC39" s="20">
        <v>53960.69</v>
      </c>
      <c r="AD39" s="2">
        <v>20.6</v>
      </c>
      <c r="AE39" s="20">
        <v>10354.93</v>
      </c>
      <c r="AF39" s="2"/>
      <c r="AG39" s="20"/>
    </row>
    <row r="40" spans="18:33" x14ac:dyDescent="0.3">
      <c r="Z40" s="68"/>
      <c r="AA40" s="2" t="s">
        <v>146</v>
      </c>
      <c r="AB40" s="2">
        <v>255</v>
      </c>
      <c r="AC40" s="20">
        <v>116518.38</v>
      </c>
      <c r="AD40" s="2">
        <v>21</v>
      </c>
      <c r="AE40" s="20">
        <v>14329.869999999999</v>
      </c>
      <c r="AF40" s="2"/>
      <c r="AG40" s="20"/>
    </row>
    <row r="41" spans="18:33" x14ac:dyDescent="0.3">
      <c r="Z41" s="68"/>
      <c r="AA41" s="2" t="s">
        <v>160</v>
      </c>
      <c r="AB41" s="2">
        <v>0</v>
      </c>
      <c r="AC41" s="20">
        <v>0</v>
      </c>
      <c r="AD41" s="2">
        <v>30</v>
      </c>
      <c r="AE41" s="20">
        <v>18524.939999999999</v>
      </c>
      <c r="AF41" s="2"/>
      <c r="AG41" s="20"/>
    </row>
    <row r="42" spans="18:33" x14ac:dyDescent="0.3">
      <c r="R42" s="22" t="s">
        <v>180</v>
      </c>
      <c r="Z42" s="68"/>
      <c r="AA42" s="2" t="s">
        <v>147</v>
      </c>
      <c r="AB42" s="2">
        <v>0</v>
      </c>
      <c r="AC42" s="20">
        <v>0</v>
      </c>
      <c r="AD42" s="2">
        <v>4</v>
      </c>
      <c r="AE42" s="20">
        <v>1938</v>
      </c>
      <c r="AF42" s="2">
        <v>2</v>
      </c>
      <c r="AG42" s="20">
        <v>1045</v>
      </c>
    </row>
    <row r="43" spans="18:33" x14ac:dyDescent="0.3">
      <c r="Z43" s="68"/>
      <c r="AA43" s="2" t="s">
        <v>148</v>
      </c>
      <c r="AB43" s="2">
        <v>180</v>
      </c>
      <c r="AC43" s="20">
        <v>78089.919999999998</v>
      </c>
      <c r="AD43" s="2">
        <v>365</v>
      </c>
      <c r="AE43" s="20">
        <v>180643.8</v>
      </c>
      <c r="AF43" s="2">
        <v>55</v>
      </c>
      <c r="AG43" s="20">
        <v>30685.27</v>
      </c>
    </row>
    <row r="44" spans="18:33" x14ac:dyDescent="0.3">
      <c r="Z44" s="68"/>
      <c r="AA44" s="2" t="s">
        <v>82</v>
      </c>
      <c r="AB44" s="2">
        <v>320</v>
      </c>
      <c r="AC44" s="20">
        <v>143070.44</v>
      </c>
      <c r="AD44" s="2">
        <v>-115</v>
      </c>
      <c r="AE44" s="20">
        <v>-47642.909999999996</v>
      </c>
      <c r="AF44" s="2">
        <v>1.8</v>
      </c>
      <c r="AG44" s="20">
        <v>1196.97</v>
      </c>
    </row>
    <row r="45" spans="18:33" x14ac:dyDescent="0.3">
      <c r="Z45" s="68"/>
      <c r="AA45" s="2" t="s">
        <v>150</v>
      </c>
      <c r="AB45" s="2">
        <v>780</v>
      </c>
      <c r="AC45" s="20">
        <v>337602.44</v>
      </c>
      <c r="AD45" s="2">
        <v>53</v>
      </c>
      <c r="AE45" s="20">
        <v>26120.59</v>
      </c>
      <c r="AF45" s="2">
        <v>10</v>
      </c>
      <c r="AG45" s="20">
        <v>5509.99</v>
      </c>
    </row>
    <row r="46" spans="18:33" x14ac:dyDescent="0.3">
      <c r="Z46" s="66" t="s">
        <v>116</v>
      </c>
      <c r="AA46" s="66"/>
      <c r="AB46" s="42">
        <f>SUM(AB29:AB45)</f>
        <v>2567</v>
      </c>
      <c r="AC46" s="45">
        <f t="shared" ref="AC46:AG46" si="4">SUM(AC29:AC45)</f>
        <v>1150855.6500000001</v>
      </c>
      <c r="AD46" s="42">
        <f t="shared" si="4"/>
        <v>1411.55</v>
      </c>
      <c r="AE46" s="45">
        <f t="shared" si="4"/>
        <v>740462.34999999986</v>
      </c>
      <c r="AF46" s="42">
        <f t="shared" si="4"/>
        <v>244.25</v>
      </c>
      <c r="AG46" s="45">
        <f t="shared" si="4"/>
        <v>135768.65000000002</v>
      </c>
    </row>
    <row r="47" spans="18:33" x14ac:dyDescent="0.3">
      <c r="Z47" s="68" t="s">
        <v>117</v>
      </c>
      <c r="AA47" s="2" t="s">
        <v>140</v>
      </c>
      <c r="AB47" s="2">
        <v>0</v>
      </c>
      <c r="AC47" s="20">
        <v>0</v>
      </c>
      <c r="AD47" s="2">
        <v>10</v>
      </c>
      <c r="AE47" s="20">
        <v>3895.03</v>
      </c>
      <c r="AF47" s="2"/>
      <c r="AG47" s="20"/>
    </row>
    <row r="48" spans="18:33" x14ac:dyDescent="0.3">
      <c r="Z48" s="68"/>
      <c r="AA48" s="2" t="s">
        <v>156</v>
      </c>
      <c r="AB48" s="2">
        <v>0</v>
      </c>
      <c r="AC48" s="20">
        <v>0</v>
      </c>
      <c r="AD48" s="2">
        <v>11.75</v>
      </c>
      <c r="AE48" s="20">
        <v>6089.4699999999993</v>
      </c>
      <c r="AF48" s="2">
        <v>2.95</v>
      </c>
      <c r="AG48" s="20">
        <v>1638.59</v>
      </c>
    </row>
    <row r="49" spans="26:33" x14ac:dyDescent="0.3">
      <c r="Z49" s="68"/>
      <c r="AA49" s="2" t="s">
        <v>141</v>
      </c>
      <c r="AB49" s="2">
        <v>40</v>
      </c>
      <c r="AC49" s="20">
        <v>13490.6</v>
      </c>
      <c r="AD49" s="2">
        <v>71.200000000000017</v>
      </c>
      <c r="AE49" s="20">
        <v>29697.5</v>
      </c>
      <c r="AF49" s="2">
        <v>5.8</v>
      </c>
      <c r="AG49" s="20">
        <v>3305.63</v>
      </c>
    </row>
    <row r="50" spans="26:33" x14ac:dyDescent="0.3">
      <c r="Z50" s="68"/>
      <c r="AA50" s="2" t="s">
        <v>158</v>
      </c>
      <c r="AB50" s="2">
        <v>0</v>
      </c>
      <c r="AC50" s="20">
        <v>0</v>
      </c>
      <c r="AD50" s="2">
        <v>50</v>
      </c>
      <c r="AE50" s="20">
        <v>20500</v>
      </c>
      <c r="AF50" s="2">
        <v>70</v>
      </c>
      <c r="AG50" s="20">
        <v>30590.120000000003</v>
      </c>
    </row>
    <row r="51" spans="26:33" x14ac:dyDescent="0.3">
      <c r="Z51" s="68"/>
      <c r="AA51" s="2" t="s">
        <v>157</v>
      </c>
      <c r="AB51" s="2">
        <v>0</v>
      </c>
      <c r="AC51" s="20">
        <v>0</v>
      </c>
      <c r="AD51" s="2">
        <v>140</v>
      </c>
      <c r="AE51" s="20">
        <v>56240.07</v>
      </c>
      <c r="AF51" s="2"/>
      <c r="AG51" s="20"/>
    </row>
    <row r="52" spans="26:33" x14ac:dyDescent="0.3">
      <c r="Z52" s="68"/>
      <c r="AA52" s="2" t="s">
        <v>153</v>
      </c>
      <c r="AB52" s="2">
        <v>0</v>
      </c>
      <c r="AC52" s="20">
        <v>0</v>
      </c>
      <c r="AD52" s="2">
        <v>125</v>
      </c>
      <c r="AE52" s="20">
        <v>52392.29</v>
      </c>
      <c r="AF52" s="2">
        <v>20</v>
      </c>
      <c r="AG52" s="20">
        <v>10259.89</v>
      </c>
    </row>
    <row r="53" spans="26:33" x14ac:dyDescent="0.3">
      <c r="Z53" s="68"/>
      <c r="AA53" s="2" t="s">
        <v>143</v>
      </c>
      <c r="AB53" s="2">
        <v>175</v>
      </c>
      <c r="AC53" s="20">
        <v>70062.820000000007</v>
      </c>
      <c r="AD53" s="2">
        <v>0</v>
      </c>
      <c r="AE53" s="20">
        <v>0</v>
      </c>
      <c r="AF53" s="2"/>
      <c r="AG53" s="20"/>
    </row>
    <row r="54" spans="26:33" x14ac:dyDescent="0.3">
      <c r="Z54" s="68"/>
      <c r="AA54" s="2" t="s">
        <v>144</v>
      </c>
      <c r="AB54" s="2">
        <v>30</v>
      </c>
      <c r="AC54" s="20">
        <v>10524.74</v>
      </c>
      <c r="AD54" s="2">
        <v>120</v>
      </c>
      <c r="AE54" s="20">
        <v>50525.16</v>
      </c>
      <c r="AF54" s="2">
        <v>-30</v>
      </c>
      <c r="AG54" s="20">
        <v>-11875.36</v>
      </c>
    </row>
    <row r="55" spans="26:33" x14ac:dyDescent="0.3">
      <c r="Z55" s="68"/>
      <c r="AA55" s="2" t="s">
        <v>152</v>
      </c>
      <c r="AB55" s="2">
        <v>0</v>
      </c>
      <c r="AC55" s="20">
        <v>0</v>
      </c>
      <c r="AD55" s="2">
        <v>15</v>
      </c>
      <c r="AE55" s="20">
        <v>7172.37</v>
      </c>
      <c r="AF55" s="2"/>
      <c r="AG55" s="20"/>
    </row>
    <row r="56" spans="26:33" x14ac:dyDescent="0.3">
      <c r="Z56" s="68"/>
      <c r="AA56" s="2" t="s">
        <v>145</v>
      </c>
      <c r="AB56" s="2">
        <v>507</v>
      </c>
      <c r="AC56" s="20">
        <v>176561.44999999998</v>
      </c>
      <c r="AD56" s="2">
        <v>190</v>
      </c>
      <c r="AE56" s="20">
        <v>76951.64</v>
      </c>
      <c r="AF56" s="2"/>
      <c r="AG56" s="20"/>
    </row>
    <row r="57" spans="26:33" x14ac:dyDescent="0.3">
      <c r="Z57" s="68"/>
      <c r="AA57" s="2" t="s">
        <v>81</v>
      </c>
      <c r="AB57" s="2">
        <v>100</v>
      </c>
      <c r="AC57" s="20">
        <v>35245.360000000001</v>
      </c>
      <c r="AD57" s="2">
        <v>51.6</v>
      </c>
      <c r="AE57" s="20">
        <v>20791.009999999998</v>
      </c>
      <c r="AF57" s="2"/>
      <c r="AG57" s="20"/>
    </row>
    <row r="58" spans="26:33" x14ac:dyDescent="0.3">
      <c r="Z58" s="68"/>
      <c r="AA58" s="2" t="s">
        <v>146</v>
      </c>
      <c r="AB58" s="2">
        <v>235</v>
      </c>
      <c r="AC58" s="20">
        <v>84197.560000000012</v>
      </c>
      <c r="AD58" s="2">
        <v>28</v>
      </c>
      <c r="AE58" s="20">
        <v>14267.13</v>
      </c>
      <c r="AF58" s="2"/>
      <c r="AG58" s="20"/>
    </row>
    <row r="59" spans="26:33" x14ac:dyDescent="0.3">
      <c r="Z59" s="68"/>
      <c r="AA59" s="2" t="s">
        <v>160</v>
      </c>
      <c r="AB59" s="2">
        <v>0</v>
      </c>
      <c r="AC59" s="20">
        <v>0</v>
      </c>
      <c r="AD59" s="2">
        <v>15</v>
      </c>
      <c r="AE59" s="20">
        <v>7837.28</v>
      </c>
      <c r="AF59" s="2"/>
      <c r="AG59" s="20"/>
    </row>
    <row r="60" spans="26:33" x14ac:dyDescent="0.3">
      <c r="Z60" s="68"/>
      <c r="AA60" s="2" t="s">
        <v>147</v>
      </c>
      <c r="AB60" s="2">
        <v>0</v>
      </c>
      <c r="AC60" s="20">
        <v>0</v>
      </c>
      <c r="AD60" s="2">
        <v>4</v>
      </c>
      <c r="AE60" s="20">
        <v>1558.01</v>
      </c>
      <c r="AF60" s="2"/>
      <c r="AG60" s="20"/>
    </row>
    <row r="61" spans="26:33" x14ac:dyDescent="0.3">
      <c r="Z61" s="68"/>
      <c r="AA61" s="2" t="s">
        <v>148</v>
      </c>
      <c r="AB61" s="2">
        <v>250</v>
      </c>
      <c r="AC61" s="20">
        <v>84075.18</v>
      </c>
      <c r="AD61" s="2">
        <v>250.3</v>
      </c>
      <c r="AE61" s="20">
        <v>98672.84</v>
      </c>
      <c r="AF61" s="2">
        <v>20</v>
      </c>
      <c r="AG61" s="20">
        <v>8740</v>
      </c>
    </row>
    <row r="62" spans="26:33" x14ac:dyDescent="0.3">
      <c r="Z62" s="68"/>
      <c r="AA62" s="2" t="s">
        <v>82</v>
      </c>
      <c r="AB62" s="2">
        <v>355</v>
      </c>
      <c r="AC62" s="20">
        <v>124497.82999999999</v>
      </c>
      <c r="AD62" s="2">
        <v>-100</v>
      </c>
      <c r="AE62" s="20">
        <v>-31635.159999999996</v>
      </c>
      <c r="AF62" s="2">
        <v>12.599999999999998</v>
      </c>
      <c r="AG62" s="20">
        <v>5851.9800000000005</v>
      </c>
    </row>
    <row r="63" spans="26:33" x14ac:dyDescent="0.3">
      <c r="Z63" s="68"/>
      <c r="AA63" s="2" t="s">
        <v>150</v>
      </c>
      <c r="AB63" s="2">
        <v>540</v>
      </c>
      <c r="AC63" s="20">
        <v>182686.28</v>
      </c>
      <c r="AD63" s="2">
        <v>40</v>
      </c>
      <c r="AE63" s="20">
        <v>16538.150000000001</v>
      </c>
      <c r="AF63" s="2">
        <v>10</v>
      </c>
      <c r="AG63" s="20">
        <v>4654.99</v>
      </c>
    </row>
    <row r="64" spans="26:33" x14ac:dyDescent="0.3">
      <c r="Z64" s="66" t="s">
        <v>118</v>
      </c>
      <c r="AA64" s="66"/>
      <c r="AB64" s="42">
        <f>SUM(AB47:AB63)</f>
        <v>2232</v>
      </c>
      <c r="AC64" s="45">
        <f t="shared" ref="AC64:AG64" si="5">SUM(AC47:AC63)</f>
        <v>781341.82</v>
      </c>
      <c r="AD64" s="42">
        <f t="shared" si="5"/>
        <v>1021.8500000000001</v>
      </c>
      <c r="AE64" s="45">
        <f t="shared" si="5"/>
        <v>431492.7900000001</v>
      </c>
      <c r="AF64" s="42">
        <f t="shared" si="5"/>
        <v>111.35</v>
      </c>
      <c r="AG64" s="45">
        <f t="shared" si="5"/>
        <v>53165.840000000004</v>
      </c>
    </row>
    <row r="65" spans="26:33" x14ac:dyDescent="0.3">
      <c r="Z65" s="68" t="s">
        <v>119</v>
      </c>
      <c r="AA65" s="2" t="s">
        <v>140</v>
      </c>
      <c r="AB65" s="27">
        <v>10</v>
      </c>
      <c r="AC65" s="55">
        <v>3324.85</v>
      </c>
      <c r="AD65" s="27">
        <v>260</v>
      </c>
      <c r="AE65" s="55">
        <v>107067.26</v>
      </c>
      <c r="AF65" s="2">
        <v>20</v>
      </c>
      <c r="AG65" s="20">
        <v>8740.07</v>
      </c>
    </row>
    <row r="66" spans="26:33" x14ac:dyDescent="0.3">
      <c r="Z66" s="68"/>
      <c r="AA66" s="2" t="s">
        <v>156</v>
      </c>
      <c r="AB66" s="27">
        <v>0</v>
      </c>
      <c r="AC66" s="55">
        <v>0</v>
      </c>
      <c r="AD66" s="27">
        <v>10.7</v>
      </c>
      <c r="AE66" s="55">
        <v>5590.68</v>
      </c>
      <c r="AF66" s="2">
        <v>0.30000000000000004</v>
      </c>
      <c r="AG66" s="20">
        <v>171</v>
      </c>
    </row>
    <row r="67" spans="26:33" x14ac:dyDescent="0.3">
      <c r="Z67" s="68"/>
      <c r="AA67" s="2" t="s">
        <v>141</v>
      </c>
      <c r="AB67" s="27">
        <v>0</v>
      </c>
      <c r="AC67" s="55">
        <v>0</v>
      </c>
      <c r="AD67" s="27">
        <v>0.60000000000000009</v>
      </c>
      <c r="AE67" s="55">
        <v>313.5</v>
      </c>
      <c r="AF67" s="2">
        <v>25.6</v>
      </c>
      <c r="AG67" s="20">
        <v>12976.91</v>
      </c>
    </row>
    <row r="68" spans="26:33" x14ac:dyDescent="0.3">
      <c r="Z68" s="68"/>
      <c r="AA68" s="2" t="s">
        <v>158</v>
      </c>
      <c r="AB68" s="27">
        <v>0</v>
      </c>
      <c r="AC68" s="55">
        <v>0</v>
      </c>
      <c r="AD68" s="27">
        <v>60</v>
      </c>
      <c r="AE68" s="55">
        <v>24395.25</v>
      </c>
      <c r="AF68" s="2"/>
      <c r="AG68" s="20"/>
    </row>
    <row r="69" spans="26:33" x14ac:dyDescent="0.3">
      <c r="Z69" s="68"/>
      <c r="AA69" s="2" t="s">
        <v>153</v>
      </c>
      <c r="AB69" s="27">
        <v>0</v>
      </c>
      <c r="AC69" s="55">
        <v>0</v>
      </c>
      <c r="AD69" s="27">
        <v>80</v>
      </c>
      <c r="AE69" s="55">
        <v>33915.11</v>
      </c>
      <c r="AF69" s="2"/>
      <c r="AG69" s="20"/>
    </row>
    <row r="70" spans="26:33" x14ac:dyDescent="0.3">
      <c r="Z70" s="68"/>
      <c r="AA70" s="2" t="s">
        <v>143</v>
      </c>
      <c r="AB70" s="27">
        <v>175</v>
      </c>
      <c r="AC70" s="55">
        <v>70062.73</v>
      </c>
      <c r="AD70" s="27">
        <v>100</v>
      </c>
      <c r="AE70" s="55">
        <v>48925.42</v>
      </c>
      <c r="AF70" s="2"/>
      <c r="AG70" s="20"/>
    </row>
    <row r="71" spans="26:33" x14ac:dyDescent="0.3">
      <c r="Z71" s="68"/>
      <c r="AA71" s="2" t="s">
        <v>144</v>
      </c>
      <c r="AB71" s="27">
        <v>320</v>
      </c>
      <c r="AC71" s="55">
        <v>112574.44</v>
      </c>
      <c r="AD71" s="27">
        <v>915</v>
      </c>
      <c r="AE71" s="55">
        <v>383000.14000000007</v>
      </c>
      <c r="AF71" s="2">
        <v>420</v>
      </c>
      <c r="AG71" s="20">
        <v>198835.88</v>
      </c>
    </row>
    <row r="72" spans="26:33" x14ac:dyDescent="0.3">
      <c r="Z72" s="68"/>
      <c r="AA72" s="2" t="s">
        <v>145</v>
      </c>
      <c r="AB72" s="27">
        <v>595</v>
      </c>
      <c r="AC72" s="55">
        <v>211615.21999999997</v>
      </c>
      <c r="AD72" s="27">
        <v>365</v>
      </c>
      <c r="AE72" s="55">
        <v>149863.44999999998</v>
      </c>
      <c r="AF72" s="2">
        <v>55</v>
      </c>
      <c r="AG72" s="20">
        <v>27741.52</v>
      </c>
    </row>
    <row r="73" spans="26:33" x14ac:dyDescent="0.3">
      <c r="Z73" s="68"/>
      <c r="AA73" s="2" t="s">
        <v>81</v>
      </c>
      <c r="AB73" s="27">
        <v>125</v>
      </c>
      <c r="AC73" s="55">
        <v>45173.08</v>
      </c>
      <c r="AD73" s="27">
        <v>325</v>
      </c>
      <c r="AE73" s="55">
        <v>143877.47</v>
      </c>
      <c r="AF73" s="2">
        <v>10</v>
      </c>
      <c r="AG73" s="20">
        <v>5130.12</v>
      </c>
    </row>
    <row r="74" spans="26:33" x14ac:dyDescent="0.3">
      <c r="Z74" s="68"/>
      <c r="AA74" s="2" t="s">
        <v>146</v>
      </c>
      <c r="AB74" s="27">
        <v>720</v>
      </c>
      <c r="AC74" s="55">
        <v>256031.24999999997</v>
      </c>
      <c r="AD74" s="27">
        <v>131</v>
      </c>
      <c r="AE74" s="55">
        <v>55829.760000000009</v>
      </c>
      <c r="AF74" s="2"/>
      <c r="AG74" s="20"/>
    </row>
    <row r="75" spans="26:33" x14ac:dyDescent="0.3">
      <c r="Z75" s="68"/>
      <c r="AA75" s="2" t="s">
        <v>160</v>
      </c>
      <c r="AB75" s="27">
        <v>0</v>
      </c>
      <c r="AC75" s="55">
        <v>0</v>
      </c>
      <c r="AD75" s="27">
        <v>5</v>
      </c>
      <c r="AE75" s="55">
        <v>2612.4499999999998</v>
      </c>
      <c r="AF75" s="2"/>
      <c r="AG75" s="20"/>
    </row>
    <row r="76" spans="26:33" x14ac:dyDescent="0.3">
      <c r="Z76" s="68"/>
      <c r="AA76" s="2" t="s">
        <v>151</v>
      </c>
      <c r="AB76" s="27">
        <v>0</v>
      </c>
      <c r="AC76" s="55">
        <v>0</v>
      </c>
      <c r="AD76" s="27">
        <v>1</v>
      </c>
      <c r="AE76" s="55">
        <v>456.01</v>
      </c>
      <c r="AF76" s="2"/>
      <c r="AG76" s="20"/>
    </row>
    <row r="77" spans="26:33" x14ac:dyDescent="0.3">
      <c r="Z77" s="68"/>
      <c r="AA77" s="2" t="s">
        <v>147</v>
      </c>
      <c r="AB77" s="27">
        <v>1</v>
      </c>
      <c r="AC77" s="55">
        <v>332.48</v>
      </c>
      <c r="AD77" s="27">
        <v>4</v>
      </c>
      <c r="AE77" s="55">
        <v>1558</v>
      </c>
      <c r="AF77" s="2">
        <v>2</v>
      </c>
      <c r="AG77" s="20">
        <v>874</v>
      </c>
    </row>
    <row r="78" spans="26:33" x14ac:dyDescent="0.3">
      <c r="Z78" s="68"/>
      <c r="AA78" s="2" t="s">
        <v>148</v>
      </c>
      <c r="AB78" s="27">
        <v>170</v>
      </c>
      <c r="AC78" s="55">
        <v>56525.229999999996</v>
      </c>
      <c r="AD78" s="27">
        <v>330</v>
      </c>
      <c r="AE78" s="55">
        <v>129770.03</v>
      </c>
      <c r="AF78" s="2">
        <v>10</v>
      </c>
      <c r="AG78" s="20">
        <v>5701</v>
      </c>
    </row>
    <row r="79" spans="26:33" x14ac:dyDescent="0.3">
      <c r="Z79" s="68"/>
      <c r="AA79" s="2" t="s">
        <v>82</v>
      </c>
      <c r="AB79" s="27">
        <v>385</v>
      </c>
      <c r="AC79" s="55">
        <v>139319.24</v>
      </c>
      <c r="AD79" s="27">
        <v>16</v>
      </c>
      <c r="AE79" s="55">
        <v>25269.830000000005</v>
      </c>
      <c r="AF79" s="2">
        <v>0.8</v>
      </c>
      <c r="AG79" s="20">
        <v>456</v>
      </c>
    </row>
    <row r="80" spans="26:33" x14ac:dyDescent="0.3">
      <c r="Z80" s="68"/>
      <c r="AA80" s="2" t="s">
        <v>150</v>
      </c>
      <c r="AB80" s="27">
        <v>1260</v>
      </c>
      <c r="AC80" s="55">
        <v>425714.03</v>
      </c>
      <c r="AD80" s="27">
        <v>570</v>
      </c>
      <c r="AE80" s="55">
        <v>228278.73999999996</v>
      </c>
      <c r="AF80" s="2">
        <v>40</v>
      </c>
      <c r="AG80" s="20">
        <v>18050.27</v>
      </c>
    </row>
    <row r="81" spans="26:33" x14ac:dyDescent="0.3">
      <c r="Z81" s="66" t="s">
        <v>120</v>
      </c>
      <c r="AA81" s="66"/>
      <c r="AB81" s="54">
        <f>SUM(AB65:AB80)</f>
        <v>3761</v>
      </c>
      <c r="AC81" s="56">
        <f t="shared" ref="AC81:AG81" si="6">SUM(AC65:AC80)</f>
        <v>1320672.5499999998</v>
      </c>
      <c r="AD81" s="54">
        <f t="shared" si="6"/>
        <v>3173.3</v>
      </c>
      <c r="AE81" s="56">
        <f t="shared" si="6"/>
        <v>1340723.1000000001</v>
      </c>
      <c r="AF81" s="54">
        <f t="shared" si="6"/>
        <v>583.69999999999993</v>
      </c>
      <c r="AG81" s="56">
        <f t="shared" si="6"/>
        <v>278676.77</v>
      </c>
    </row>
    <row r="82" spans="26:33" x14ac:dyDescent="0.3">
      <c r="Z82" s="68" t="s">
        <v>121</v>
      </c>
      <c r="AA82" s="2" t="s">
        <v>140</v>
      </c>
      <c r="AB82" s="27">
        <v>335</v>
      </c>
      <c r="AC82" s="55">
        <v>54159.88</v>
      </c>
      <c r="AD82" s="27">
        <v>35</v>
      </c>
      <c r="AE82" s="55">
        <v>5842.5400000000009</v>
      </c>
      <c r="AF82" s="2"/>
      <c r="AG82" s="20"/>
    </row>
    <row r="83" spans="26:33" x14ac:dyDescent="0.3">
      <c r="Z83" s="68"/>
      <c r="AA83" s="2" t="s">
        <v>156</v>
      </c>
      <c r="AB83" s="27">
        <v>0</v>
      </c>
      <c r="AC83" s="55">
        <v>0</v>
      </c>
      <c r="AD83" s="27">
        <v>282.5</v>
      </c>
      <c r="AE83" s="55">
        <v>48041.479999999996</v>
      </c>
      <c r="AF83" s="2">
        <v>45</v>
      </c>
      <c r="AG83" s="20">
        <v>7808.98</v>
      </c>
    </row>
    <row r="84" spans="26:33" x14ac:dyDescent="0.3">
      <c r="Z84" s="68"/>
      <c r="AA84" s="2" t="s">
        <v>141</v>
      </c>
      <c r="AB84" s="27">
        <v>50</v>
      </c>
      <c r="AC84" s="55">
        <v>8074.24</v>
      </c>
      <c r="AD84" s="27">
        <v>25</v>
      </c>
      <c r="AE84" s="55">
        <v>4274.88</v>
      </c>
      <c r="AF84" s="2"/>
      <c r="AG84" s="20"/>
    </row>
    <row r="85" spans="26:33" x14ac:dyDescent="0.3">
      <c r="Z85" s="68"/>
      <c r="AA85" s="2" t="s">
        <v>153</v>
      </c>
      <c r="AB85" s="27">
        <v>0</v>
      </c>
      <c r="AC85" s="55">
        <v>0</v>
      </c>
      <c r="AD85" s="27">
        <v>75</v>
      </c>
      <c r="AE85" s="55">
        <v>12825.07</v>
      </c>
      <c r="AF85" s="2"/>
      <c r="AG85" s="20"/>
    </row>
    <row r="86" spans="26:33" x14ac:dyDescent="0.3">
      <c r="Z86" s="68"/>
      <c r="AA86" s="2" t="s">
        <v>144</v>
      </c>
      <c r="AB86" s="27">
        <v>290</v>
      </c>
      <c r="AC86" s="55">
        <v>46568.759999999995</v>
      </c>
      <c r="AD86" s="27">
        <v>25</v>
      </c>
      <c r="AE86" s="55">
        <v>4180</v>
      </c>
      <c r="AF86" s="2">
        <v>125</v>
      </c>
      <c r="AG86" s="20">
        <v>22562.51</v>
      </c>
    </row>
    <row r="87" spans="26:33" x14ac:dyDescent="0.3">
      <c r="Z87" s="68"/>
      <c r="AA87" s="2" t="s">
        <v>145</v>
      </c>
      <c r="AB87" s="27">
        <v>1639</v>
      </c>
      <c r="AC87" s="55">
        <v>261162.14</v>
      </c>
      <c r="AD87" s="27">
        <v>1140</v>
      </c>
      <c r="AE87" s="55">
        <v>192528.87</v>
      </c>
      <c r="AF87" s="2">
        <v>80</v>
      </c>
      <c r="AG87" s="20">
        <v>14725.34</v>
      </c>
    </row>
    <row r="88" spans="26:33" x14ac:dyDescent="0.3">
      <c r="Z88" s="68"/>
      <c r="AA88" s="2" t="s">
        <v>81</v>
      </c>
      <c r="AB88" s="27">
        <v>1095</v>
      </c>
      <c r="AC88" s="55">
        <v>177506.34</v>
      </c>
      <c r="AD88" s="27">
        <v>634</v>
      </c>
      <c r="AE88" s="55">
        <v>107559.81</v>
      </c>
      <c r="AF88" s="2">
        <v>25</v>
      </c>
      <c r="AG88" s="20">
        <v>4512.4399999999996</v>
      </c>
    </row>
    <row r="89" spans="26:33" x14ac:dyDescent="0.3">
      <c r="Z89" s="68"/>
      <c r="AA89" s="2" t="s">
        <v>146</v>
      </c>
      <c r="AB89" s="27">
        <v>2157</v>
      </c>
      <c r="AC89" s="55">
        <v>347233.95000000007</v>
      </c>
      <c r="AD89" s="27">
        <v>439</v>
      </c>
      <c r="AE89" s="55">
        <v>75433.959999999992</v>
      </c>
      <c r="AF89" s="2">
        <v>15</v>
      </c>
      <c r="AG89" s="20">
        <v>2850.04</v>
      </c>
    </row>
    <row r="90" spans="26:33" x14ac:dyDescent="0.3">
      <c r="Z90" s="68"/>
      <c r="AA90" s="2" t="s">
        <v>151</v>
      </c>
      <c r="AB90" s="27">
        <v>1.5</v>
      </c>
      <c r="AC90" s="55">
        <v>270.70999999999998</v>
      </c>
      <c r="AD90" s="27">
        <v>1.5</v>
      </c>
      <c r="AE90" s="55">
        <v>270.74</v>
      </c>
      <c r="AF90" s="2"/>
      <c r="AG90" s="20"/>
    </row>
    <row r="91" spans="26:33" x14ac:dyDescent="0.3">
      <c r="Z91" s="68"/>
      <c r="AA91" s="2" t="s">
        <v>147</v>
      </c>
      <c r="AB91" s="27">
        <v>10</v>
      </c>
      <c r="AC91" s="55">
        <v>1615.24</v>
      </c>
      <c r="AD91" s="27">
        <v>280</v>
      </c>
      <c r="AE91" s="55">
        <v>45666.17</v>
      </c>
      <c r="AF91" s="2">
        <v>70</v>
      </c>
      <c r="AG91" s="20">
        <v>12634.869999999999</v>
      </c>
    </row>
    <row r="92" spans="26:33" x14ac:dyDescent="0.3">
      <c r="Z92" s="68"/>
      <c r="AA92" s="2" t="s">
        <v>148</v>
      </c>
      <c r="AB92" s="27">
        <v>1450</v>
      </c>
      <c r="AC92" s="55">
        <v>224294.52</v>
      </c>
      <c r="AD92" s="27">
        <v>0</v>
      </c>
      <c r="AE92" s="55">
        <v>0</v>
      </c>
      <c r="AF92" s="2"/>
      <c r="AG92" s="20"/>
    </row>
    <row r="93" spans="26:33" x14ac:dyDescent="0.3">
      <c r="Z93" s="68"/>
      <c r="AA93" s="2" t="s">
        <v>82</v>
      </c>
      <c r="AB93" s="27">
        <v>1797</v>
      </c>
      <c r="AC93" s="55">
        <v>287953.73000000004</v>
      </c>
      <c r="AD93" s="27">
        <v>95</v>
      </c>
      <c r="AE93" s="55">
        <v>17566.21</v>
      </c>
      <c r="AF93" s="2">
        <v>32.5</v>
      </c>
      <c r="AG93" s="20">
        <v>5890.06</v>
      </c>
    </row>
    <row r="94" spans="26:33" x14ac:dyDescent="0.3">
      <c r="Z94" s="68"/>
      <c r="AA94" s="2" t="s">
        <v>150</v>
      </c>
      <c r="AB94" s="27">
        <v>350</v>
      </c>
      <c r="AC94" s="55">
        <v>55591.42</v>
      </c>
      <c r="AD94" s="27">
        <v>0</v>
      </c>
      <c r="AE94" s="55">
        <v>0</v>
      </c>
      <c r="AF94" s="2"/>
      <c r="AG94" s="20"/>
    </row>
    <row r="95" spans="26:33" x14ac:dyDescent="0.3">
      <c r="Z95" s="66" t="s">
        <v>122</v>
      </c>
      <c r="AA95" s="66"/>
      <c r="AB95" s="54">
        <f>SUM(AB82:AB94)</f>
        <v>9174.5</v>
      </c>
      <c r="AC95" s="56">
        <f t="shared" ref="AC95:AG95" si="7">SUM(AC82:AC94)</f>
        <v>1464430.93</v>
      </c>
      <c r="AD95" s="54">
        <f t="shared" si="7"/>
        <v>3032</v>
      </c>
      <c r="AE95" s="56">
        <f t="shared" si="7"/>
        <v>514189.73</v>
      </c>
      <c r="AF95" s="54">
        <f t="shared" si="7"/>
        <v>392.5</v>
      </c>
      <c r="AG95" s="56">
        <f t="shared" si="7"/>
        <v>70984.240000000005</v>
      </c>
    </row>
    <row r="96" spans="26:33" x14ac:dyDescent="0.3">
      <c r="Z96" s="68" t="s">
        <v>123</v>
      </c>
      <c r="AA96" s="2" t="s">
        <v>140</v>
      </c>
      <c r="AB96" s="27">
        <v>240</v>
      </c>
      <c r="AC96" s="55">
        <v>43415.49</v>
      </c>
      <c r="AD96" s="27">
        <v>825</v>
      </c>
      <c r="AE96" s="55">
        <v>156322.29</v>
      </c>
      <c r="AF96" s="2"/>
      <c r="AG96" s="20"/>
    </row>
    <row r="97" spans="26:33" x14ac:dyDescent="0.3">
      <c r="Z97" s="68"/>
      <c r="AA97" s="2" t="s">
        <v>156</v>
      </c>
      <c r="AB97" s="27">
        <v>0</v>
      </c>
      <c r="AC97" s="55">
        <v>0</v>
      </c>
      <c r="AD97" s="27">
        <v>9.5</v>
      </c>
      <c r="AE97" s="55">
        <v>1790.9</v>
      </c>
      <c r="AF97" s="2">
        <v>9</v>
      </c>
      <c r="AG97" s="20">
        <v>1757.44</v>
      </c>
    </row>
    <row r="98" spans="26:33" x14ac:dyDescent="0.3">
      <c r="Z98" s="68"/>
      <c r="AA98" s="2" t="s">
        <v>141</v>
      </c>
      <c r="AB98" s="27">
        <v>50</v>
      </c>
      <c r="AC98" s="55">
        <v>9024.91</v>
      </c>
      <c r="AD98" s="27">
        <v>34</v>
      </c>
      <c r="AE98" s="55">
        <v>6459.89</v>
      </c>
      <c r="AF98" s="2">
        <v>3</v>
      </c>
      <c r="AG98" s="20">
        <v>607.98</v>
      </c>
    </row>
    <row r="99" spans="26:33" x14ac:dyDescent="0.3">
      <c r="Z99" s="68"/>
      <c r="AA99" s="2" t="s">
        <v>158</v>
      </c>
      <c r="AB99" s="27">
        <v>0</v>
      </c>
      <c r="AC99" s="55">
        <v>0</v>
      </c>
      <c r="AD99" s="27">
        <v>125</v>
      </c>
      <c r="AE99" s="55">
        <v>23749.93</v>
      </c>
      <c r="AF99" s="2"/>
      <c r="AG99" s="20"/>
    </row>
    <row r="100" spans="26:33" x14ac:dyDescent="0.3">
      <c r="Z100" s="68"/>
      <c r="AA100" s="2" t="s">
        <v>157</v>
      </c>
      <c r="AB100" s="27">
        <v>0</v>
      </c>
      <c r="AC100" s="55">
        <v>0</v>
      </c>
      <c r="AD100" s="27">
        <v>1150</v>
      </c>
      <c r="AE100" s="55">
        <v>213513.30000000002</v>
      </c>
      <c r="AF100" s="2"/>
      <c r="AG100" s="20"/>
    </row>
    <row r="101" spans="26:33" x14ac:dyDescent="0.3">
      <c r="Z101" s="68"/>
      <c r="AA101" s="2" t="s">
        <v>153</v>
      </c>
      <c r="AB101" s="27">
        <v>0</v>
      </c>
      <c r="AC101" s="55">
        <v>0</v>
      </c>
      <c r="AD101" s="27">
        <v>250</v>
      </c>
      <c r="AE101" s="55">
        <v>47500.05</v>
      </c>
      <c r="AF101" s="2"/>
      <c r="AG101" s="20"/>
    </row>
    <row r="102" spans="26:33" x14ac:dyDescent="0.3">
      <c r="Z102" s="68"/>
      <c r="AA102" s="2" t="s">
        <v>143</v>
      </c>
      <c r="AB102" s="27">
        <v>0</v>
      </c>
      <c r="AC102" s="55">
        <v>0</v>
      </c>
      <c r="AD102" s="27">
        <v>200</v>
      </c>
      <c r="AE102" s="55">
        <v>38712.47</v>
      </c>
      <c r="AF102" s="2"/>
      <c r="AG102" s="20"/>
    </row>
    <row r="103" spans="26:33" x14ac:dyDescent="0.3">
      <c r="Z103" s="68"/>
      <c r="AA103" s="2" t="s">
        <v>144</v>
      </c>
      <c r="AB103" s="27">
        <v>460</v>
      </c>
      <c r="AC103" s="55">
        <v>81538.720000000001</v>
      </c>
      <c r="AD103" s="27">
        <v>25</v>
      </c>
      <c r="AE103" s="55">
        <v>4607.5</v>
      </c>
      <c r="AF103" s="2"/>
      <c r="AG103" s="20"/>
    </row>
    <row r="104" spans="26:33" x14ac:dyDescent="0.3">
      <c r="Z104" s="68"/>
      <c r="AA104" s="2" t="s">
        <v>145</v>
      </c>
      <c r="AB104" s="27">
        <v>1170</v>
      </c>
      <c r="AC104" s="55">
        <v>209863.50999999998</v>
      </c>
      <c r="AD104" s="27">
        <v>325</v>
      </c>
      <c r="AE104" s="55">
        <v>61987.59</v>
      </c>
      <c r="AF104" s="2"/>
      <c r="AG104" s="20"/>
    </row>
    <row r="105" spans="26:33" x14ac:dyDescent="0.3">
      <c r="Z105" s="68"/>
      <c r="AA105" s="2" t="s">
        <v>81</v>
      </c>
      <c r="AB105" s="27">
        <v>860</v>
      </c>
      <c r="AC105" s="55">
        <v>155970.09</v>
      </c>
      <c r="AD105" s="27">
        <v>227.5</v>
      </c>
      <c r="AE105" s="55">
        <v>42327.06</v>
      </c>
      <c r="AF105" s="2">
        <v>25</v>
      </c>
      <c r="AG105" s="20">
        <v>4987.4399999999996</v>
      </c>
    </row>
    <row r="106" spans="26:33" x14ac:dyDescent="0.3">
      <c r="Z106" s="68"/>
      <c r="AA106" s="2" t="s">
        <v>146</v>
      </c>
      <c r="AB106" s="27">
        <v>2150</v>
      </c>
      <c r="AC106" s="55">
        <v>384962.9800000001</v>
      </c>
      <c r="AD106" s="27">
        <v>275</v>
      </c>
      <c r="AE106" s="55">
        <v>52390.080000000002</v>
      </c>
      <c r="AF106" s="2">
        <v>15</v>
      </c>
      <c r="AG106" s="20">
        <v>3135.05</v>
      </c>
    </row>
    <row r="107" spans="26:33" x14ac:dyDescent="0.3">
      <c r="Z107" s="68"/>
      <c r="AA107" s="2" t="s">
        <v>151</v>
      </c>
      <c r="AB107" s="27">
        <v>0.5</v>
      </c>
      <c r="AC107" s="55">
        <v>95.24</v>
      </c>
      <c r="AD107" s="27">
        <v>0.5</v>
      </c>
      <c r="AE107" s="55">
        <v>99.75</v>
      </c>
      <c r="AF107" s="2"/>
      <c r="AG107" s="20"/>
    </row>
    <row r="108" spans="26:33" x14ac:dyDescent="0.3">
      <c r="Z108" s="68"/>
      <c r="AA108" s="2" t="s">
        <v>152</v>
      </c>
      <c r="AB108" s="27"/>
      <c r="AC108" s="55"/>
      <c r="AD108" s="27"/>
      <c r="AE108" s="55"/>
      <c r="AF108" s="2">
        <v>500</v>
      </c>
      <c r="AG108" s="20">
        <v>99750.37</v>
      </c>
    </row>
    <row r="109" spans="26:33" x14ac:dyDescent="0.3">
      <c r="Z109" s="68"/>
      <c r="AA109" s="2" t="s">
        <v>147</v>
      </c>
      <c r="AB109" s="27">
        <v>0</v>
      </c>
      <c r="AC109" s="55">
        <v>0</v>
      </c>
      <c r="AD109" s="27">
        <v>250</v>
      </c>
      <c r="AE109" s="55">
        <v>44564.61</v>
      </c>
      <c r="AF109" s="2"/>
      <c r="AG109" s="20"/>
    </row>
    <row r="110" spans="26:33" x14ac:dyDescent="0.3">
      <c r="Z110" s="68"/>
      <c r="AA110" s="2" t="s">
        <v>148</v>
      </c>
      <c r="AB110" s="27">
        <v>1280</v>
      </c>
      <c r="AC110" s="55">
        <v>221198.57</v>
      </c>
      <c r="AD110" s="27">
        <v>0</v>
      </c>
      <c r="AE110" s="55">
        <v>0</v>
      </c>
      <c r="AF110" s="2"/>
      <c r="AG110" s="20"/>
    </row>
    <row r="111" spans="26:33" x14ac:dyDescent="0.3">
      <c r="Z111" s="68"/>
      <c r="AA111" s="2" t="s">
        <v>82</v>
      </c>
      <c r="AB111" s="27">
        <v>1221</v>
      </c>
      <c r="AC111" s="55">
        <v>218539.15</v>
      </c>
      <c r="AD111" s="27">
        <v>150</v>
      </c>
      <c r="AE111" s="55">
        <v>29925.1</v>
      </c>
      <c r="AF111" s="2">
        <v>19</v>
      </c>
      <c r="AG111" s="20">
        <v>3828.41</v>
      </c>
    </row>
    <row r="112" spans="26:33" x14ac:dyDescent="0.3">
      <c r="Z112" s="68"/>
      <c r="AA112" s="2" t="s">
        <v>150</v>
      </c>
      <c r="AB112" s="27">
        <v>425</v>
      </c>
      <c r="AC112" s="55">
        <v>75809.060000000012</v>
      </c>
      <c r="AD112" s="27">
        <v>0</v>
      </c>
      <c r="AE112" s="55">
        <v>0</v>
      </c>
      <c r="AF112" s="2"/>
      <c r="AG112" s="20"/>
    </row>
    <row r="113" spans="26:33" x14ac:dyDescent="0.3">
      <c r="Z113" s="66" t="s">
        <v>124</v>
      </c>
      <c r="AA113" s="66"/>
      <c r="AB113" s="54">
        <f>SUM(AB96:AB112)</f>
        <v>7856.5</v>
      </c>
      <c r="AC113" s="56">
        <f t="shared" ref="AC113:AG113" si="8">SUM(AC96:AC112)</f>
        <v>1400417.72</v>
      </c>
      <c r="AD113" s="54">
        <f t="shared" si="8"/>
        <v>3846.5</v>
      </c>
      <c r="AE113" s="56">
        <f t="shared" si="8"/>
        <v>723950.5199999999</v>
      </c>
      <c r="AF113" s="54">
        <f t="shared" si="8"/>
        <v>571</v>
      </c>
      <c r="AG113" s="56">
        <f t="shared" si="8"/>
        <v>114066.69</v>
      </c>
    </row>
    <row r="114" spans="26:33" x14ac:dyDescent="0.3">
      <c r="Z114" s="68" t="s">
        <v>125</v>
      </c>
      <c r="AA114" s="2" t="s">
        <v>140</v>
      </c>
      <c r="AB114" s="27">
        <v>50</v>
      </c>
      <c r="AC114" s="55">
        <v>9975.07</v>
      </c>
      <c r="AD114" s="27">
        <v>75</v>
      </c>
      <c r="AE114" s="55">
        <v>15532.58</v>
      </c>
      <c r="AF114" s="2"/>
      <c r="AG114" s="20"/>
    </row>
    <row r="115" spans="26:33" x14ac:dyDescent="0.3">
      <c r="Z115" s="68"/>
      <c r="AA115" s="2" t="s">
        <v>156</v>
      </c>
      <c r="AB115" s="27">
        <v>0</v>
      </c>
      <c r="AC115" s="55">
        <v>0</v>
      </c>
      <c r="AD115" s="27">
        <v>473.5</v>
      </c>
      <c r="AE115" s="55">
        <v>97741.580000000016</v>
      </c>
      <c r="AF115" s="2">
        <v>131.5</v>
      </c>
      <c r="AG115" s="20">
        <v>27901.649999999998</v>
      </c>
    </row>
    <row r="116" spans="26:33" x14ac:dyDescent="0.3">
      <c r="Z116" s="68"/>
      <c r="AA116" s="2" t="s">
        <v>141</v>
      </c>
      <c r="AB116" s="27">
        <v>125</v>
      </c>
      <c r="AC116" s="55">
        <v>25200.879999999997</v>
      </c>
      <c r="AD116" s="27">
        <v>140</v>
      </c>
      <c r="AE116" s="55">
        <v>29174.27</v>
      </c>
      <c r="AF116" s="2">
        <v>162.5</v>
      </c>
      <c r="AG116" s="20">
        <v>34666.390000000007</v>
      </c>
    </row>
    <row r="117" spans="26:33" x14ac:dyDescent="0.3">
      <c r="Z117" s="68"/>
      <c r="AA117" s="2" t="s">
        <v>157</v>
      </c>
      <c r="AB117" s="27">
        <v>0</v>
      </c>
      <c r="AC117" s="55">
        <v>0</v>
      </c>
      <c r="AD117" s="27">
        <v>75</v>
      </c>
      <c r="AE117" s="55">
        <v>15674.37</v>
      </c>
      <c r="AF117" s="2">
        <v>75</v>
      </c>
      <c r="AG117" s="20">
        <v>16387.740000000002</v>
      </c>
    </row>
    <row r="118" spans="26:33" x14ac:dyDescent="0.3">
      <c r="Z118" s="68"/>
      <c r="AA118" s="2" t="s">
        <v>153</v>
      </c>
      <c r="AB118" s="27">
        <v>0</v>
      </c>
      <c r="AC118" s="55">
        <v>0</v>
      </c>
      <c r="AD118" s="27">
        <v>1075</v>
      </c>
      <c r="AE118" s="55">
        <v>212563.43</v>
      </c>
      <c r="AF118" s="2"/>
      <c r="AG118" s="20"/>
    </row>
    <row r="119" spans="26:33" x14ac:dyDescent="0.3">
      <c r="Z119" s="68"/>
      <c r="AA119" s="2" t="s">
        <v>143</v>
      </c>
      <c r="AB119" s="27">
        <v>25</v>
      </c>
      <c r="AC119" s="55">
        <v>4987.41</v>
      </c>
      <c r="AD119" s="27">
        <v>450</v>
      </c>
      <c r="AE119" s="55">
        <v>92268.68</v>
      </c>
      <c r="AF119" s="2"/>
      <c r="AG119" s="20"/>
    </row>
    <row r="120" spans="26:33" x14ac:dyDescent="0.3">
      <c r="Z120" s="68"/>
      <c r="AA120" s="2" t="s">
        <v>144</v>
      </c>
      <c r="AB120" s="27">
        <v>275</v>
      </c>
      <c r="AC120" s="55">
        <v>54102.320000000007</v>
      </c>
      <c r="AD120" s="27">
        <v>1025</v>
      </c>
      <c r="AE120" s="55">
        <v>204036.43000000002</v>
      </c>
      <c r="AF120" s="2">
        <v>1025</v>
      </c>
      <c r="AG120" s="20">
        <v>217764.02</v>
      </c>
    </row>
    <row r="121" spans="26:33" x14ac:dyDescent="0.3">
      <c r="Z121" s="68"/>
      <c r="AA121" s="2" t="s">
        <v>145</v>
      </c>
      <c r="AB121" s="27">
        <v>1620</v>
      </c>
      <c r="AC121" s="55">
        <v>320426.75</v>
      </c>
      <c r="AD121" s="27">
        <v>1076</v>
      </c>
      <c r="AE121" s="55">
        <v>225169.39000000004</v>
      </c>
      <c r="AF121" s="2">
        <v>200</v>
      </c>
      <c r="AG121" s="20">
        <v>44412.37</v>
      </c>
    </row>
    <row r="122" spans="26:33" x14ac:dyDescent="0.3">
      <c r="Z122" s="68"/>
      <c r="AA122" s="2" t="s">
        <v>81</v>
      </c>
      <c r="AB122" s="27">
        <v>1371</v>
      </c>
      <c r="AC122" s="55">
        <v>271699.19999999995</v>
      </c>
      <c r="AD122" s="27">
        <v>1269.5</v>
      </c>
      <c r="AE122" s="55">
        <v>258884.4899999999</v>
      </c>
      <c r="AF122" s="2">
        <v>100</v>
      </c>
      <c r="AG122" s="20">
        <v>21850.34</v>
      </c>
    </row>
    <row r="123" spans="26:33" x14ac:dyDescent="0.3">
      <c r="Z123" s="68"/>
      <c r="AA123" s="2" t="s">
        <v>146</v>
      </c>
      <c r="AB123" s="27">
        <v>2014</v>
      </c>
      <c r="AC123" s="55">
        <v>399183.47</v>
      </c>
      <c r="AD123" s="27">
        <v>174</v>
      </c>
      <c r="AE123" s="55">
        <v>36430.67</v>
      </c>
      <c r="AF123" s="2">
        <v>65</v>
      </c>
      <c r="AG123" s="20">
        <v>14344.920000000002</v>
      </c>
    </row>
    <row r="124" spans="26:33" x14ac:dyDescent="0.3">
      <c r="Z124" s="68"/>
      <c r="AA124" s="2" t="s">
        <v>160</v>
      </c>
      <c r="AB124" s="27">
        <v>0</v>
      </c>
      <c r="AC124" s="55">
        <v>0</v>
      </c>
      <c r="AD124" s="27">
        <v>25</v>
      </c>
      <c r="AE124" s="55">
        <v>5224.74</v>
      </c>
      <c r="AF124" s="2"/>
      <c r="AG124" s="20"/>
    </row>
    <row r="125" spans="26:33" x14ac:dyDescent="0.3">
      <c r="Z125" s="68"/>
      <c r="AA125" s="2" t="s">
        <v>151</v>
      </c>
      <c r="AB125" s="27">
        <v>8</v>
      </c>
      <c r="AC125" s="55">
        <v>1607.82</v>
      </c>
      <c r="AD125" s="27">
        <v>44</v>
      </c>
      <c r="AE125" s="55">
        <v>9614.0600000000013</v>
      </c>
      <c r="AF125" s="2"/>
      <c r="AG125" s="20"/>
    </row>
    <row r="126" spans="26:33" x14ac:dyDescent="0.3">
      <c r="Z126" s="68"/>
      <c r="AA126" s="2" t="s">
        <v>147</v>
      </c>
      <c r="AB126" s="27">
        <v>1</v>
      </c>
      <c r="AC126" s="55">
        <v>218.54</v>
      </c>
      <c r="AD126" s="27">
        <v>160</v>
      </c>
      <c r="AE126" s="55">
        <v>32784.31</v>
      </c>
      <c r="AF126" s="2">
        <v>110</v>
      </c>
      <c r="AG126" s="20">
        <v>24034.99</v>
      </c>
    </row>
    <row r="127" spans="26:33" x14ac:dyDescent="0.3">
      <c r="Z127" s="68"/>
      <c r="AA127" s="21" t="s">
        <v>152</v>
      </c>
      <c r="AD127" s="27"/>
      <c r="AE127" s="55"/>
      <c r="AF127">
        <v>75</v>
      </c>
      <c r="AG127" s="18">
        <v>16387.54</v>
      </c>
    </row>
    <row r="128" spans="26:33" x14ac:dyDescent="0.3">
      <c r="Z128" s="68"/>
      <c r="AA128" s="2" t="s">
        <v>148</v>
      </c>
      <c r="AB128" s="27">
        <v>2710</v>
      </c>
      <c r="AC128" s="55">
        <v>524305.84</v>
      </c>
      <c r="AD128" s="27">
        <v>1850</v>
      </c>
      <c r="AE128" s="55">
        <v>377103.71</v>
      </c>
      <c r="AF128" s="2">
        <v>215</v>
      </c>
      <c r="AG128" s="20">
        <v>46065.020000000004</v>
      </c>
    </row>
    <row r="129" spans="26:33" x14ac:dyDescent="0.3">
      <c r="Z129" s="68"/>
      <c r="AA129" s="2" t="s">
        <v>82</v>
      </c>
      <c r="AB129" s="27">
        <v>2286</v>
      </c>
      <c r="AC129" s="55">
        <v>447889.64000000013</v>
      </c>
      <c r="AD129" s="27">
        <v>1125</v>
      </c>
      <c r="AE129" s="55">
        <v>231017.89000000004</v>
      </c>
      <c r="AF129" s="2">
        <v>615</v>
      </c>
      <c r="AG129" s="20">
        <v>127014.76999999999</v>
      </c>
    </row>
    <row r="130" spans="26:33" x14ac:dyDescent="0.3">
      <c r="Z130" s="68"/>
      <c r="AA130" s="2" t="s">
        <v>150</v>
      </c>
      <c r="AB130" s="27">
        <v>975</v>
      </c>
      <c r="AC130" s="55">
        <v>192756.33999999997</v>
      </c>
      <c r="AD130" s="27">
        <v>205</v>
      </c>
      <c r="AE130" s="55">
        <v>43175.85</v>
      </c>
      <c r="AF130" s="2">
        <v>30</v>
      </c>
      <c r="AG130" s="20">
        <v>6840.07</v>
      </c>
    </row>
    <row r="131" spans="26:33" x14ac:dyDescent="0.3">
      <c r="Z131" s="66" t="s">
        <v>126</v>
      </c>
      <c r="AA131" s="66"/>
      <c r="AB131" s="54">
        <f>SUM(AB114:AB130)</f>
        <v>11460</v>
      </c>
      <c r="AC131" s="56">
        <f t="shared" ref="AC131:AG131" si="9">SUM(AC114:AC130)</f>
        <v>2252353.2799999998</v>
      </c>
      <c r="AD131" s="54">
        <f t="shared" si="9"/>
        <v>9242</v>
      </c>
      <c r="AE131" s="56">
        <f t="shared" si="9"/>
        <v>1886396.4500000002</v>
      </c>
      <c r="AF131" s="54">
        <f t="shared" si="9"/>
        <v>2804</v>
      </c>
      <c r="AG131" s="56">
        <f t="shared" si="9"/>
        <v>597669.81999999995</v>
      </c>
    </row>
    <row r="132" spans="26:33" x14ac:dyDescent="0.3">
      <c r="Z132" s="75" t="s">
        <v>127</v>
      </c>
      <c r="AA132" s="2" t="s">
        <v>140</v>
      </c>
      <c r="AB132" s="27">
        <v>336</v>
      </c>
      <c r="AC132" s="55">
        <v>44688.3</v>
      </c>
      <c r="AD132" s="27">
        <v>344</v>
      </c>
      <c r="AE132" s="55">
        <v>44900.37</v>
      </c>
      <c r="AF132" s="2">
        <v>120</v>
      </c>
      <c r="AG132" s="20">
        <v>15921.75</v>
      </c>
    </row>
    <row r="133" spans="26:33" x14ac:dyDescent="0.3">
      <c r="Z133" s="76"/>
      <c r="AA133" s="2" t="s">
        <v>156</v>
      </c>
      <c r="AB133" s="27">
        <v>0</v>
      </c>
      <c r="AC133" s="55">
        <v>0</v>
      </c>
      <c r="AD133" s="27">
        <v>80</v>
      </c>
      <c r="AE133" s="55">
        <v>10639.900000000001</v>
      </c>
      <c r="AF133" s="2"/>
      <c r="AG133" s="20"/>
    </row>
    <row r="134" spans="26:33" x14ac:dyDescent="0.3">
      <c r="Z134" s="76"/>
      <c r="AA134" s="2" t="s">
        <v>141</v>
      </c>
      <c r="AB134" s="27">
        <v>112</v>
      </c>
      <c r="AC134" s="55">
        <v>14896.2</v>
      </c>
      <c r="AD134" s="27">
        <v>1136</v>
      </c>
      <c r="AE134" s="55">
        <v>151085.21999999997</v>
      </c>
      <c r="AF134" s="2"/>
      <c r="AG134" s="20"/>
    </row>
    <row r="135" spans="26:33" x14ac:dyDescent="0.3">
      <c r="Z135" s="76"/>
      <c r="AA135" s="2" t="s">
        <v>158</v>
      </c>
      <c r="AB135" s="27">
        <v>0</v>
      </c>
      <c r="AC135" s="55">
        <v>0</v>
      </c>
      <c r="AD135" s="27">
        <v>640</v>
      </c>
      <c r="AE135" s="55">
        <v>88480</v>
      </c>
      <c r="AF135" s="2">
        <v>240</v>
      </c>
      <c r="AG135" s="20">
        <v>34200.11</v>
      </c>
    </row>
    <row r="136" spans="26:33" x14ac:dyDescent="0.3">
      <c r="Z136" s="76"/>
      <c r="AA136" s="2" t="s">
        <v>153</v>
      </c>
      <c r="AB136" s="27">
        <v>0</v>
      </c>
      <c r="AC136" s="55">
        <v>0</v>
      </c>
      <c r="AD136" s="27">
        <v>2464</v>
      </c>
      <c r="AE136" s="55">
        <v>327708.30000000005</v>
      </c>
      <c r="AF136" s="2">
        <v>160</v>
      </c>
      <c r="AG136" s="20">
        <v>22800</v>
      </c>
    </row>
    <row r="137" spans="26:33" x14ac:dyDescent="0.3">
      <c r="Z137" s="76"/>
      <c r="AA137" s="2" t="s">
        <v>159</v>
      </c>
      <c r="AB137" s="27">
        <v>0</v>
      </c>
      <c r="AC137" s="55">
        <v>0</v>
      </c>
      <c r="AD137" s="27">
        <v>128</v>
      </c>
      <c r="AE137" s="55">
        <v>17024.04</v>
      </c>
      <c r="AF137" s="2"/>
      <c r="AG137" s="20"/>
    </row>
    <row r="138" spans="26:33" x14ac:dyDescent="0.3">
      <c r="Z138" s="76"/>
      <c r="AA138" s="2" t="s">
        <v>143</v>
      </c>
      <c r="AB138" s="27">
        <v>0</v>
      </c>
      <c r="AC138" s="55">
        <v>0</v>
      </c>
      <c r="AD138" s="27">
        <v>672</v>
      </c>
      <c r="AE138" s="55">
        <v>89935.739999999991</v>
      </c>
      <c r="AF138" s="2">
        <v>320</v>
      </c>
      <c r="AG138" s="20">
        <v>45600</v>
      </c>
    </row>
    <row r="139" spans="26:33" x14ac:dyDescent="0.3">
      <c r="Z139" s="76"/>
      <c r="AA139" s="2" t="s">
        <v>144</v>
      </c>
      <c r="AB139" s="27">
        <v>32</v>
      </c>
      <c r="AC139" s="55">
        <v>4255.2</v>
      </c>
      <c r="AD139" s="27">
        <v>8</v>
      </c>
      <c r="AE139" s="55">
        <v>893.8</v>
      </c>
      <c r="AF139" s="2"/>
      <c r="AG139" s="20"/>
    </row>
    <row r="140" spans="26:33" x14ac:dyDescent="0.3">
      <c r="Z140" s="76"/>
      <c r="AA140" s="2" t="s">
        <v>152</v>
      </c>
      <c r="AB140" s="27">
        <v>0</v>
      </c>
      <c r="AC140" s="55">
        <v>0</v>
      </c>
      <c r="AD140" s="27">
        <v>336</v>
      </c>
      <c r="AE140" s="55">
        <v>44687.600000000006</v>
      </c>
      <c r="AF140" s="2"/>
      <c r="AG140" s="20"/>
    </row>
    <row r="141" spans="26:33" x14ac:dyDescent="0.3">
      <c r="Z141" s="76"/>
      <c r="AA141" s="2" t="s">
        <v>145</v>
      </c>
      <c r="AB141" s="27">
        <v>0</v>
      </c>
      <c r="AC141" s="55">
        <v>0</v>
      </c>
      <c r="AD141" s="27">
        <v>14284</v>
      </c>
      <c r="AE141" s="55">
        <v>1896454.88</v>
      </c>
      <c r="AF141" s="2">
        <v>116</v>
      </c>
      <c r="AG141" s="20">
        <v>15941.029999999999</v>
      </c>
    </row>
    <row r="142" spans="26:33" x14ac:dyDescent="0.3">
      <c r="Z142" s="76"/>
      <c r="AA142" s="2" t="s">
        <v>81</v>
      </c>
      <c r="AB142" s="27">
        <v>240</v>
      </c>
      <c r="AC142" s="55">
        <v>31919.440000000002</v>
      </c>
      <c r="AD142" s="27">
        <v>3524</v>
      </c>
      <c r="AE142" s="55">
        <v>456771.75999999978</v>
      </c>
      <c r="AF142" s="2">
        <v>1492</v>
      </c>
      <c r="AG142" s="20">
        <v>178569.22999999998</v>
      </c>
    </row>
    <row r="143" spans="26:33" x14ac:dyDescent="0.3">
      <c r="Z143" s="76"/>
      <c r="AA143" s="2" t="s">
        <v>146</v>
      </c>
      <c r="AB143" s="27">
        <v>2272</v>
      </c>
      <c r="AC143" s="55">
        <v>302353.74</v>
      </c>
      <c r="AD143" s="27">
        <v>7808</v>
      </c>
      <c r="AE143" s="55">
        <v>1039497.6899999997</v>
      </c>
      <c r="AF143" s="2">
        <v>244</v>
      </c>
      <c r="AG143" s="20">
        <v>33211.800000000003</v>
      </c>
    </row>
    <row r="144" spans="26:33" x14ac:dyDescent="0.3">
      <c r="Z144" s="76"/>
      <c r="AA144" s="2" t="s">
        <v>160</v>
      </c>
      <c r="AB144" s="27">
        <v>0</v>
      </c>
      <c r="AC144" s="55">
        <v>0</v>
      </c>
      <c r="AD144" s="27">
        <v>336</v>
      </c>
      <c r="AE144" s="55">
        <v>44686.149999999994</v>
      </c>
      <c r="AF144" s="2"/>
      <c r="AG144" s="20"/>
    </row>
    <row r="145" spans="26:33" x14ac:dyDescent="0.3">
      <c r="Z145" s="76"/>
      <c r="AA145" s="2" t="s">
        <v>151</v>
      </c>
      <c r="AB145" s="27">
        <v>8</v>
      </c>
      <c r="AC145" s="55">
        <v>1066.6199999999999</v>
      </c>
      <c r="AD145" s="27">
        <v>24</v>
      </c>
      <c r="AE145" s="55">
        <v>3192.08</v>
      </c>
      <c r="AF145" s="2"/>
      <c r="AG145" s="20"/>
    </row>
    <row r="146" spans="26:33" x14ac:dyDescent="0.3">
      <c r="Z146" s="76"/>
      <c r="AA146" s="2" t="s">
        <v>147</v>
      </c>
      <c r="AB146" s="27">
        <v>0</v>
      </c>
      <c r="AC146" s="55">
        <v>0</v>
      </c>
      <c r="AD146" s="27">
        <v>60</v>
      </c>
      <c r="AE146" s="55">
        <v>7421.77</v>
      </c>
      <c r="AF146" s="2">
        <v>284</v>
      </c>
      <c r="AG146" s="20">
        <v>35938.699999999997</v>
      </c>
    </row>
    <row r="147" spans="26:33" x14ac:dyDescent="0.3">
      <c r="Z147" s="76"/>
      <c r="AA147" s="2" t="s">
        <v>82</v>
      </c>
      <c r="AB147" s="27">
        <v>496</v>
      </c>
      <c r="AC147" s="55">
        <v>65966.289999999994</v>
      </c>
      <c r="AD147" s="27">
        <v>2604</v>
      </c>
      <c r="AE147" s="55">
        <v>335181.79999999993</v>
      </c>
      <c r="AF147" s="2">
        <v>212</v>
      </c>
      <c r="AG147" s="20">
        <v>29621.4</v>
      </c>
    </row>
    <row r="148" spans="26:33" x14ac:dyDescent="0.3">
      <c r="Z148" s="76"/>
      <c r="AA148" s="2" t="s">
        <v>150</v>
      </c>
      <c r="AB148" s="27">
        <v>2160</v>
      </c>
      <c r="AC148" s="55">
        <v>287644.48</v>
      </c>
      <c r="AD148" s="27">
        <v>5696</v>
      </c>
      <c r="AE148" s="55">
        <v>758632.02999999991</v>
      </c>
      <c r="AF148" s="2">
        <v>344</v>
      </c>
      <c r="AG148" s="20">
        <v>47880.160000000003</v>
      </c>
    </row>
    <row r="149" spans="26:33" x14ac:dyDescent="0.3">
      <c r="Z149" s="77"/>
      <c r="AA149" s="2" t="s">
        <v>157</v>
      </c>
      <c r="AB149" s="27"/>
      <c r="AC149" s="55"/>
      <c r="AD149" s="27"/>
      <c r="AE149" s="55"/>
      <c r="AF149" s="2">
        <v>112</v>
      </c>
      <c r="AG149" s="20">
        <v>15960.02</v>
      </c>
    </row>
    <row r="150" spans="26:33" x14ac:dyDescent="0.3">
      <c r="Z150" s="66" t="s">
        <v>128</v>
      </c>
      <c r="AA150" s="66"/>
      <c r="AB150" s="54">
        <f>SUM(AB132:AB148)</f>
        <v>5656</v>
      </c>
      <c r="AC150" s="56">
        <f>SUM(AC132:AC148)</f>
        <v>752790.27</v>
      </c>
      <c r="AD150" s="54">
        <f>SUM(AD132:AD148)</f>
        <v>40144</v>
      </c>
      <c r="AE150" s="56">
        <f>SUM(AE132:AE148)</f>
        <v>5317193.13</v>
      </c>
      <c r="AF150" s="54">
        <f>SUM(AF132:AF149)</f>
        <v>3644</v>
      </c>
      <c r="AG150" s="56">
        <f>SUM(AG132:AG149)</f>
        <v>475644.20000000007</v>
      </c>
    </row>
    <row r="151" spans="26:33" x14ac:dyDescent="0.3">
      <c r="Z151" s="68" t="s">
        <v>129</v>
      </c>
      <c r="AA151" s="2" t="s">
        <v>140</v>
      </c>
      <c r="AB151" s="27">
        <v>5</v>
      </c>
      <c r="AC151" s="55">
        <v>20424.91</v>
      </c>
      <c r="AD151" s="27">
        <v>5</v>
      </c>
      <c r="AE151" s="55">
        <v>20424.740000000002</v>
      </c>
      <c r="AF151" s="2"/>
      <c r="AG151" s="20"/>
    </row>
    <row r="152" spans="26:33" x14ac:dyDescent="0.3">
      <c r="Z152" s="68"/>
      <c r="AA152" s="2" t="s">
        <v>156</v>
      </c>
      <c r="AB152" s="27">
        <v>0</v>
      </c>
      <c r="AC152" s="55">
        <v>0</v>
      </c>
      <c r="AD152" s="27">
        <v>14.4</v>
      </c>
      <c r="AE152" s="55">
        <v>58824.29</v>
      </c>
      <c r="AF152" s="2">
        <v>16.600000000000001</v>
      </c>
      <c r="AG152" s="20">
        <v>59925.760000000002</v>
      </c>
    </row>
    <row r="153" spans="26:33" x14ac:dyDescent="0.3">
      <c r="Z153" s="68"/>
      <c r="AA153" s="2" t="s">
        <v>141</v>
      </c>
      <c r="AB153" s="27">
        <v>0</v>
      </c>
      <c r="AC153" s="55">
        <v>0</v>
      </c>
      <c r="AD153" s="27">
        <v>68.200000000000017</v>
      </c>
      <c r="AE153" s="55">
        <v>276648.49000000005</v>
      </c>
      <c r="AF153" s="2">
        <v>4.0000000000000009</v>
      </c>
      <c r="AG153" s="20">
        <v>14439.989999999998</v>
      </c>
    </row>
    <row r="154" spans="26:33" x14ac:dyDescent="0.3">
      <c r="Z154" s="68"/>
      <c r="AA154" s="2" t="s">
        <v>153</v>
      </c>
      <c r="AB154" s="27">
        <v>0</v>
      </c>
      <c r="AC154" s="55">
        <v>0</v>
      </c>
      <c r="AD154" s="27">
        <v>30</v>
      </c>
      <c r="AE154" s="55">
        <v>122548.69</v>
      </c>
      <c r="AF154" s="2"/>
      <c r="AG154" s="20"/>
    </row>
    <row r="155" spans="26:33" x14ac:dyDescent="0.3">
      <c r="Z155" s="68"/>
      <c r="AA155" s="2" t="s">
        <v>143</v>
      </c>
      <c r="AB155" s="27">
        <v>0</v>
      </c>
      <c r="AC155" s="55">
        <v>0</v>
      </c>
      <c r="AD155" s="27">
        <v>30</v>
      </c>
      <c r="AE155" s="55">
        <v>122550.06999999999</v>
      </c>
      <c r="AF155" s="2">
        <v>25</v>
      </c>
      <c r="AG155" s="20">
        <v>90250.07</v>
      </c>
    </row>
    <row r="156" spans="26:33" x14ac:dyDescent="0.3">
      <c r="Z156" s="68"/>
      <c r="AA156" s="2" t="s">
        <v>144</v>
      </c>
      <c r="AB156" s="27">
        <v>10</v>
      </c>
      <c r="AC156" s="55">
        <v>40849.730000000003</v>
      </c>
      <c r="AD156" s="27">
        <v>100</v>
      </c>
      <c r="AE156" s="55">
        <v>405175.48</v>
      </c>
      <c r="AF156" s="2">
        <v>25</v>
      </c>
      <c r="AG156" s="20">
        <v>88824.99</v>
      </c>
    </row>
    <row r="157" spans="26:33" x14ac:dyDescent="0.3">
      <c r="Z157" s="68"/>
      <c r="AA157" s="2" t="s">
        <v>145</v>
      </c>
      <c r="AB157" s="27">
        <v>0</v>
      </c>
      <c r="AC157" s="55">
        <v>0</v>
      </c>
      <c r="AD157" s="27">
        <v>102</v>
      </c>
      <c r="AE157" s="55">
        <v>414245.12</v>
      </c>
      <c r="AF157" s="2">
        <v>-5</v>
      </c>
      <c r="AG157" s="20">
        <v>-20425.060000000001</v>
      </c>
    </row>
    <row r="158" spans="26:33" x14ac:dyDescent="0.3">
      <c r="Z158" s="68"/>
      <c r="AA158" s="2" t="s">
        <v>81</v>
      </c>
      <c r="AB158" s="27">
        <v>25</v>
      </c>
      <c r="AC158" s="55">
        <v>102124.5</v>
      </c>
      <c r="AD158" s="27">
        <v>177.3</v>
      </c>
      <c r="AE158" s="55">
        <v>723679.66</v>
      </c>
      <c r="AF158" s="2">
        <v>5</v>
      </c>
      <c r="AG158" s="20">
        <v>18050.5</v>
      </c>
    </row>
    <row r="159" spans="26:33" x14ac:dyDescent="0.3">
      <c r="Z159" s="68"/>
      <c r="AA159" s="2" t="s">
        <v>146</v>
      </c>
      <c r="AB159" s="27">
        <v>240</v>
      </c>
      <c r="AC159" s="55">
        <v>966402.1399999999</v>
      </c>
      <c r="AD159" s="27">
        <v>164.2</v>
      </c>
      <c r="AE159" s="55">
        <v>657611.87</v>
      </c>
      <c r="AF159" s="2">
        <v>16</v>
      </c>
      <c r="AG159" s="20">
        <v>56144.7</v>
      </c>
    </row>
    <row r="160" spans="26:33" x14ac:dyDescent="0.3">
      <c r="Z160" s="68"/>
      <c r="AA160" s="2" t="s">
        <v>147</v>
      </c>
      <c r="AB160" s="27">
        <v>1</v>
      </c>
      <c r="AC160" s="55">
        <v>3971</v>
      </c>
      <c r="AD160" s="27">
        <v>5</v>
      </c>
      <c r="AE160" s="55">
        <v>19940.16</v>
      </c>
      <c r="AF160" s="2">
        <v>12</v>
      </c>
      <c r="AG160" s="20">
        <v>41040.01</v>
      </c>
    </row>
    <row r="161" spans="26:33" x14ac:dyDescent="0.3">
      <c r="Z161" s="68"/>
      <c r="AA161" s="2" t="s">
        <v>82</v>
      </c>
      <c r="AB161" s="27">
        <v>45</v>
      </c>
      <c r="AC161" s="55">
        <v>182398.63999999998</v>
      </c>
      <c r="AD161" s="27">
        <v>72.5</v>
      </c>
      <c r="AE161" s="55">
        <v>295212.22000000003</v>
      </c>
      <c r="AF161" s="2">
        <v>2.1</v>
      </c>
      <c r="AG161" s="20">
        <v>7580.7699999999995</v>
      </c>
    </row>
    <row r="162" spans="26:33" x14ac:dyDescent="0.3">
      <c r="Z162" s="68"/>
      <c r="AA162" s="2" t="s">
        <v>150</v>
      </c>
      <c r="AB162" s="27">
        <v>5</v>
      </c>
      <c r="AC162" s="55">
        <v>20550.060000000001</v>
      </c>
      <c r="AD162" s="27">
        <v>10</v>
      </c>
      <c r="AE162" s="55">
        <v>40850.03</v>
      </c>
      <c r="AF162" s="2"/>
      <c r="AG162" s="20"/>
    </row>
    <row r="163" spans="26:33" x14ac:dyDescent="0.3">
      <c r="Z163" s="66" t="s">
        <v>130</v>
      </c>
      <c r="AA163" s="66"/>
      <c r="AB163" s="54">
        <f>SUM(AB151:AB162)</f>
        <v>331</v>
      </c>
      <c r="AC163" s="56">
        <f t="shared" ref="AC163:AG163" si="10">SUM(AC151:AC162)</f>
        <v>1336720.9799999997</v>
      </c>
      <c r="AD163" s="54">
        <f t="shared" si="10"/>
        <v>778.60000000000014</v>
      </c>
      <c r="AE163" s="56">
        <f t="shared" si="10"/>
        <v>3157710.8200000003</v>
      </c>
      <c r="AF163" s="54">
        <f t="shared" si="10"/>
        <v>100.69999999999999</v>
      </c>
      <c r="AG163" s="56">
        <f t="shared" si="10"/>
        <v>355831.73000000004</v>
      </c>
    </row>
    <row r="164" spans="26:33" x14ac:dyDescent="0.3">
      <c r="Z164" s="68" t="s">
        <v>131</v>
      </c>
      <c r="AA164" s="2" t="s">
        <v>140</v>
      </c>
      <c r="AB164" s="27">
        <v>25</v>
      </c>
      <c r="AC164" s="55">
        <v>4275.24</v>
      </c>
      <c r="AD164" s="27">
        <v>1432</v>
      </c>
      <c r="AE164" s="55">
        <v>262438.73</v>
      </c>
      <c r="AF164" s="2">
        <v>12</v>
      </c>
      <c r="AG164" s="20">
        <v>5700</v>
      </c>
    </row>
    <row r="165" spans="26:33" x14ac:dyDescent="0.3">
      <c r="Z165" s="68"/>
      <c r="AA165" s="2" t="s">
        <v>156</v>
      </c>
      <c r="AB165" s="27">
        <v>0</v>
      </c>
      <c r="AC165" s="55">
        <v>0</v>
      </c>
      <c r="AD165" s="27">
        <v>1153.5</v>
      </c>
      <c r="AE165" s="55">
        <v>244509.12</v>
      </c>
      <c r="AF165" s="2">
        <v>136.5</v>
      </c>
      <c r="AG165" s="20">
        <v>25360.84</v>
      </c>
    </row>
    <row r="166" spans="26:33" x14ac:dyDescent="0.3">
      <c r="Z166" s="68"/>
      <c r="AA166" s="2" t="s">
        <v>141</v>
      </c>
      <c r="AB166" s="27">
        <v>25</v>
      </c>
      <c r="AC166" s="55">
        <v>4275.17</v>
      </c>
      <c r="AD166" s="27">
        <v>390</v>
      </c>
      <c r="AE166" s="55">
        <v>109182.60999999999</v>
      </c>
      <c r="AF166" s="2">
        <v>298.5</v>
      </c>
      <c r="AG166" s="20">
        <v>58458.12000000001</v>
      </c>
    </row>
    <row r="167" spans="26:33" x14ac:dyDescent="0.3">
      <c r="Z167" s="68"/>
      <c r="AA167" s="2" t="s">
        <v>158</v>
      </c>
      <c r="AB167" s="27">
        <v>0</v>
      </c>
      <c r="AC167" s="55">
        <v>0</v>
      </c>
      <c r="AD167" s="27">
        <v>625</v>
      </c>
      <c r="AE167" s="55">
        <v>117562.44</v>
      </c>
      <c r="AF167" s="2"/>
      <c r="AG167" s="20"/>
    </row>
    <row r="168" spans="26:33" x14ac:dyDescent="0.3">
      <c r="Z168" s="68"/>
      <c r="AA168" s="2" t="s">
        <v>157</v>
      </c>
      <c r="AB168" s="27">
        <v>0</v>
      </c>
      <c r="AC168" s="55">
        <v>0</v>
      </c>
      <c r="AD168" s="27">
        <v>1050</v>
      </c>
      <c r="AE168" s="55">
        <v>185108.1</v>
      </c>
      <c r="AF168" s="2">
        <v>50</v>
      </c>
      <c r="AG168" s="20">
        <v>9499.8799999999992</v>
      </c>
    </row>
    <row r="169" spans="26:33" x14ac:dyDescent="0.3">
      <c r="Z169" s="68"/>
      <c r="AA169" s="2" t="s">
        <v>153</v>
      </c>
      <c r="AB169" s="27">
        <v>0</v>
      </c>
      <c r="AC169" s="55">
        <v>0</v>
      </c>
      <c r="AD169" s="27">
        <v>2720</v>
      </c>
      <c r="AE169" s="55">
        <v>605033.83000000007</v>
      </c>
      <c r="AF169" s="2">
        <v>371</v>
      </c>
      <c r="AG169" s="20">
        <v>97424.31</v>
      </c>
    </row>
    <row r="170" spans="26:33" x14ac:dyDescent="0.3">
      <c r="Z170" s="68"/>
      <c r="AA170" s="2" t="s">
        <v>159</v>
      </c>
      <c r="AB170" s="27">
        <v>0</v>
      </c>
      <c r="AC170" s="55">
        <v>0</v>
      </c>
      <c r="AD170" s="27">
        <v>775</v>
      </c>
      <c r="AE170" s="55">
        <v>139887.47999999998</v>
      </c>
      <c r="AF170" s="2">
        <v>50</v>
      </c>
      <c r="AG170" s="20">
        <v>9500</v>
      </c>
    </row>
    <row r="171" spans="26:33" x14ac:dyDescent="0.3">
      <c r="Z171" s="68"/>
      <c r="AA171" s="2" t="s">
        <v>143</v>
      </c>
      <c r="AB171" s="27">
        <v>0</v>
      </c>
      <c r="AC171" s="55">
        <v>0</v>
      </c>
      <c r="AD171" s="27">
        <v>654</v>
      </c>
      <c r="AE171" s="55">
        <v>176343.59</v>
      </c>
      <c r="AF171" s="2">
        <v>500</v>
      </c>
      <c r="AG171" s="20">
        <v>95000.07</v>
      </c>
    </row>
    <row r="172" spans="26:33" x14ac:dyDescent="0.3">
      <c r="Z172" s="68"/>
      <c r="AA172" s="2" t="s">
        <v>144</v>
      </c>
      <c r="AB172" s="27">
        <v>325</v>
      </c>
      <c r="AC172" s="55">
        <v>55385.1</v>
      </c>
      <c r="AD172" s="27">
        <v>817</v>
      </c>
      <c r="AE172" s="55">
        <v>156061.79999999999</v>
      </c>
      <c r="AF172" s="2">
        <v>3031</v>
      </c>
      <c r="AG172" s="20">
        <v>579737.06999999995</v>
      </c>
    </row>
    <row r="173" spans="26:33" x14ac:dyDescent="0.3">
      <c r="Z173" s="68"/>
      <c r="AA173" s="2" t="s">
        <v>145</v>
      </c>
      <c r="AB173" s="27">
        <v>250</v>
      </c>
      <c r="AC173" s="55">
        <v>42998.130000000005</v>
      </c>
      <c r="AD173" s="27">
        <v>3712</v>
      </c>
      <c r="AE173" s="55">
        <v>714307.8899999999</v>
      </c>
      <c r="AF173" s="2">
        <v>150</v>
      </c>
      <c r="AG173" s="20">
        <v>29449.909999999996</v>
      </c>
    </row>
    <row r="174" spans="26:33" x14ac:dyDescent="0.3">
      <c r="Z174" s="68"/>
      <c r="AA174" s="2" t="s">
        <v>81</v>
      </c>
      <c r="AB174" s="27">
        <v>635</v>
      </c>
      <c r="AC174" s="55">
        <v>106980.57999999999</v>
      </c>
      <c r="AD174" s="27">
        <v>5493</v>
      </c>
      <c r="AE174" s="55">
        <v>1070497.5500000003</v>
      </c>
      <c r="AF174" s="2">
        <v>2027</v>
      </c>
      <c r="AG174" s="20">
        <v>443413.35000000003</v>
      </c>
    </row>
    <row r="175" spans="26:33" x14ac:dyDescent="0.3">
      <c r="Z175" s="68"/>
      <c r="AA175" s="2" t="s">
        <v>146</v>
      </c>
      <c r="AB175" s="27">
        <v>1374</v>
      </c>
      <c r="AC175" s="55">
        <v>234788.73</v>
      </c>
      <c r="AD175" s="27">
        <v>741</v>
      </c>
      <c r="AE175" s="55">
        <v>200565.27</v>
      </c>
      <c r="AF175" s="2">
        <v>27</v>
      </c>
      <c r="AG175" s="20">
        <v>8692.5499999999993</v>
      </c>
    </row>
    <row r="176" spans="26:33" x14ac:dyDescent="0.3">
      <c r="Z176" s="68"/>
      <c r="AA176" s="2" t="s">
        <v>160</v>
      </c>
      <c r="AB176" s="27">
        <v>0</v>
      </c>
      <c r="AC176" s="55">
        <v>0</v>
      </c>
      <c r="AD176" s="27">
        <v>822</v>
      </c>
      <c r="AE176" s="55">
        <v>257925.12000000002</v>
      </c>
      <c r="AF176" s="2">
        <v>262</v>
      </c>
      <c r="AG176" s="20">
        <v>53200.03</v>
      </c>
    </row>
    <row r="177" spans="26:33" x14ac:dyDescent="0.3">
      <c r="Z177" s="68"/>
      <c r="AA177" s="2" t="s">
        <v>151</v>
      </c>
      <c r="AB177" s="27">
        <v>19.5</v>
      </c>
      <c r="AC177" s="55">
        <v>3711.64</v>
      </c>
      <c r="AD177" s="27">
        <v>109.84</v>
      </c>
      <c r="AE177" s="55">
        <v>22220.6</v>
      </c>
      <c r="AF177" s="2"/>
      <c r="AG177" s="20"/>
    </row>
    <row r="178" spans="26:33" x14ac:dyDescent="0.3">
      <c r="Z178" s="68"/>
      <c r="AA178" s="2" t="s">
        <v>147</v>
      </c>
      <c r="AB178" s="27">
        <v>1</v>
      </c>
      <c r="AC178" s="55">
        <v>190.04</v>
      </c>
      <c r="AD178" s="27">
        <v>680</v>
      </c>
      <c r="AE178" s="55">
        <v>115701.01000000001</v>
      </c>
      <c r="AF178" s="2">
        <v>280</v>
      </c>
      <c r="AG178" s="20">
        <v>53199.4</v>
      </c>
    </row>
    <row r="179" spans="26:33" x14ac:dyDescent="0.3">
      <c r="Z179" s="68"/>
      <c r="AA179" s="2" t="s">
        <v>152</v>
      </c>
      <c r="AB179" s="27"/>
      <c r="AC179" s="55"/>
      <c r="AD179" s="27"/>
      <c r="AE179" s="55"/>
      <c r="AF179">
        <v>728</v>
      </c>
      <c r="AG179" s="18">
        <v>237785.12</v>
      </c>
    </row>
    <row r="180" spans="26:33" x14ac:dyDescent="0.3">
      <c r="Z180" s="68"/>
      <c r="AA180" s="2" t="s">
        <v>148</v>
      </c>
      <c r="AB180" s="27">
        <v>1404</v>
      </c>
      <c r="AC180" s="55">
        <v>245769.55999999997</v>
      </c>
      <c r="AD180" s="27">
        <v>1767.5</v>
      </c>
      <c r="AE180" s="55">
        <v>344943.8</v>
      </c>
      <c r="AF180" s="2">
        <v>232</v>
      </c>
      <c r="AG180" s="20">
        <v>48070.119999999995</v>
      </c>
    </row>
    <row r="181" spans="26:33" x14ac:dyDescent="0.3">
      <c r="Z181" s="68"/>
      <c r="AA181" s="2" t="s">
        <v>82</v>
      </c>
      <c r="AB181" s="27">
        <v>911</v>
      </c>
      <c r="AC181" s="55">
        <v>153890.82</v>
      </c>
      <c r="AD181" s="27">
        <v>2507</v>
      </c>
      <c r="AE181" s="55">
        <v>519936.89999999997</v>
      </c>
      <c r="AF181" s="2">
        <v>530.5</v>
      </c>
      <c r="AG181" s="20">
        <v>105659.26</v>
      </c>
    </row>
    <row r="182" spans="26:33" x14ac:dyDescent="0.3">
      <c r="Z182" s="68"/>
      <c r="AA182" s="2" t="s">
        <v>150</v>
      </c>
      <c r="AB182" s="27">
        <v>150</v>
      </c>
      <c r="AC182" s="55">
        <v>25668.559999999998</v>
      </c>
      <c r="AD182" s="27">
        <v>365</v>
      </c>
      <c r="AE182" s="55">
        <v>66817.51999999999</v>
      </c>
      <c r="AF182" s="2">
        <v>45</v>
      </c>
      <c r="AG182" s="20">
        <v>8977.57</v>
      </c>
    </row>
    <row r="183" spans="26:33" x14ac:dyDescent="0.3">
      <c r="Z183" s="66" t="s">
        <v>132</v>
      </c>
      <c r="AA183" s="66"/>
      <c r="AB183" s="54">
        <f>SUM(AB164:AB182)</f>
        <v>5119.5</v>
      </c>
      <c r="AC183" s="56">
        <f t="shared" ref="AC183:AG183" si="11">SUM(AC164:AC182)</f>
        <v>877933.57000000007</v>
      </c>
      <c r="AD183" s="54">
        <f t="shared" si="11"/>
        <v>25813.84</v>
      </c>
      <c r="AE183" s="56">
        <f t="shared" si="11"/>
        <v>5309043.3599999994</v>
      </c>
      <c r="AF183" s="54">
        <f t="shared" si="11"/>
        <v>8730.5</v>
      </c>
      <c r="AG183" s="56">
        <f t="shared" si="11"/>
        <v>1869127.6</v>
      </c>
    </row>
    <row r="184" spans="26:33" x14ac:dyDescent="0.3">
      <c r="Z184" s="68" t="s">
        <v>133</v>
      </c>
      <c r="AA184" s="2" t="s">
        <v>140</v>
      </c>
      <c r="AB184" s="27">
        <v>0</v>
      </c>
      <c r="AC184" s="55">
        <v>0</v>
      </c>
      <c r="AD184" s="27">
        <v>50</v>
      </c>
      <c r="AE184" s="55">
        <v>9975.0600000000013</v>
      </c>
      <c r="AF184" s="2"/>
      <c r="AG184" s="20"/>
    </row>
    <row r="185" spans="26:33" x14ac:dyDescent="0.3">
      <c r="Z185" s="68"/>
      <c r="AA185" s="2" t="s">
        <v>156</v>
      </c>
      <c r="AB185" s="27">
        <v>0</v>
      </c>
      <c r="AC185" s="55">
        <v>0</v>
      </c>
      <c r="AD185" s="27">
        <v>316.5</v>
      </c>
      <c r="AE185" s="55">
        <v>61598.59</v>
      </c>
      <c r="AF185" s="2">
        <v>46.5</v>
      </c>
      <c r="AG185" s="20">
        <v>9295.7699999999986</v>
      </c>
    </row>
    <row r="186" spans="26:33" x14ac:dyDescent="0.3">
      <c r="Z186" s="68"/>
      <c r="AA186" s="2" t="s">
        <v>141</v>
      </c>
      <c r="AB186" s="27">
        <v>0</v>
      </c>
      <c r="AC186" s="55">
        <v>0</v>
      </c>
      <c r="AD186" s="27">
        <v>45</v>
      </c>
      <c r="AE186" s="55">
        <v>8550.1500000000015</v>
      </c>
      <c r="AF186" s="2">
        <v>154.5</v>
      </c>
      <c r="AG186" s="20">
        <v>31145.510000000002</v>
      </c>
    </row>
    <row r="187" spans="26:33" x14ac:dyDescent="0.3">
      <c r="Z187" s="68"/>
      <c r="AA187" s="2" t="s">
        <v>153</v>
      </c>
      <c r="AB187" s="27">
        <v>0</v>
      </c>
      <c r="AC187" s="55">
        <v>0</v>
      </c>
      <c r="AD187" s="27">
        <v>1800</v>
      </c>
      <c r="AE187" s="55">
        <v>332501.33999999997</v>
      </c>
      <c r="AF187" s="2"/>
      <c r="AG187" s="20"/>
    </row>
    <row r="188" spans="26:33" x14ac:dyDescent="0.3">
      <c r="Z188" s="68"/>
      <c r="AA188" s="2" t="s">
        <v>143</v>
      </c>
      <c r="AB188" s="27">
        <v>25</v>
      </c>
      <c r="AC188" s="55">
        <v>4512.42</v>
      </c>
      <c r="AD188" s="27">
        <v>325</v>
      </c>
      <c r="AE188" s="55">
        <v>63174.95</v>
      </c>
      <c r="AF188" s="2"/>
      <c r="AG188" s="20"/>
    </row>
    <row r="189" spans="26:33" x14ac:dyDescent="0.3">
      <c r="Z189" s="68"/>
      <c r="AA189" s="2" t="s">
        <v>144</v>
      </c>
      <c r="AB189" s="27">
        <v>100</v>
      </c>
      <c r="AC189" s="55">
        <v>17337.54</v>
      </c>
      <c r="AD189" s="27">
        <v>325</v>
      </c>
      <c r="AE189" s="55">
        <v>60800.09</v>
      </c>
      <c r="AF189" s="2">
        <v>1355</v>
      </c>
      <c r="AG189" s="20">
        <v>270892.2</v>
      </c>
    </row>
    <row r="190" spans="26:33" x14ac:dyDescent="0.3">
      <c r="Z190" s="68"/>
      <c r="AA190" s="2" t="s">
        <v>145</v>
      </c>
      <c r="AB190" s="27">
        <v>376</v>
      </c>
      <c r="AC190" s="55">
        <v>66880.03</v>
      </c>
      <c r="AD190" s="27">
        <v>725</v>
      </c>
      <c r="AE190" s="55">
        <v>142263.77999999997</v>
      </c>
      <c r="AF190" s="2"/>
      <c r="AG190" s="20"/>
    </row>
    <row r="191" spans="26:33" x14ac:dyDescent="0.3">
      <c r="Z191" s="68"/>
      <c r="AA191" s="2" t="s">
        <v>81</v>
      </c>
      <c r="AB191" s="27">
        <v>560</v>
      </c>
      <c r="AC191" s="55">
        <v>99778.329999999973</v>
      </c>
      <c r="AD191" s="27">
        <v>3313.5</v>
      </c>
      <c r="AE191" s="55">
        <v>645250.42999999993</v>
      </c>
      <c r="AF191" s="2">
        <v>475</v>
      </c>
      <c r="AG191" s="20">
        <v>97375.07</v>
      </c>
    </row>
    <row r="192" spans="26:33" x14ac:dyDescent="0.3">
      <c r="Z192" s="68"/>
      <c r="AA192" s="2" t="s">
        <v>146</v>
      </c>
      <c r="AB192" s="27">
        <v>658</v>
      </c>
      <c r="AC192" s="55">
        <v>118451.5</v>
      </c>
      <c r="AD192" s="27">
        <v>149</v>
      </c>
      <c r="AE192" s="55">
        <v>29817.870000000003</v>
      </c>
      <c r="AF192" s="2">
        <v>15</v>
      </c>
      <c r="AG192" s="20">
        <v>3277.55</v>
      </c>
    </row>
    <row r="193" spans="26:33" x14ac:dyDescent="0.3">
      <c r="Z193" s="68"/>
      <c r="AA193" s="2" t="s">
        <v>151</v>
      </c>
      <c r="AB193" s="27">
        <v>4</v>
      </c>
      <c r="AC193" s="55">
        <v>775.41</v>
      </c>
      <c r="AD193" s="27">
        <v>26.5</v>
      </c>
      <c r="AE193" s="55">
        <v>5490.99</v>
      </c>
      <c r="AF193" s="2"/>
      <c r="AG193" s="20"/>
    </row>
    <row r="194" spans="26:33" x14ac:dyDescent="0.3">
      <c r="Z194" s="68"/>
      <c r="AA194" s="2" t="s">
        <v>152</v>
      </c>
      <c r="AB194" s="27"/>
      <c r="AC194" s="55"/>
      <c r="AD194" s="27"/>
      <c r="AE194" s="55"/>
      <c r="AF194" s="2">
        <v>25</v>
      </c>
      <c r="AG194" s="20">
        <v>5225.13</v>
      </c>
    </row>
    <row r="195" spans="26:33" x14ac:dyDescent="0.3">
      <c r="Z195" s="68"/>
      <c r="AA195" s="2" t="s">
        <v>147</v>
      </c>
      <c r="AB195" s="27">
        <v>0</v>
      </c>
      <c r="AC195" s="55">
        <v>0</v>
      </c>
      <c r="AD195" s="27">
        <v>85</v>
      </c>
      <c r="AE195" s="55">
        <v>16482.38</v>
      </c>
      <c r="AF195" s="2">
        <v>40</v>
      </c>
      <c r="AG195" s="20">
        <v>8359.98</v>
      </c>
    </row>
    <row r="196" spans="26:33" x14ac:dyDescent="0.3">
      <c r="Z196" s="68"/>
      <c r="AA196" s="2" t="s">
        <v>148</v>
      </c>
      <c r="AB196" s="27">
        <v>915</v>
      </c>
      <c r="AC196" s="55">
        <v>165727.43</v>
      </c>
      <c r="AD196" s="27">
        <v>1639.5</v>
      </c>
      <c r="AE196" s="55">
        <v>323878</v>
      </c>
      <c r="AF196" s="2">
        <v>30</v>
      </c>
      <c r="AG196" s="20">
        <v>6555.05</v>
      </c>
    </row>
    <row r="197" spans="26:33" x14ac:dyDescent="0.3">
      <c r="Z197" s="68"/>
      <c r="AA197" s="2" t="s">
        <v>82</v>
      </c>
      <c r="AB197" s="27">
        <v>1397</v>
      </c>
      <c r="AC197" s="55">
        <v>247701.43000000002</v>
      </c>
      <c r="AD197" s="27">
        <v>1468</v>
      </c>
      <c r="AE197" s="55">
        <v>285238.59999999992</v>
      </c>
      <c r="AF197" s="2">
        <v>267.5</v>
      </c>
      <c r="AG197" s="20">
        <v>54838.21</v>
      </c>
    </row>
    <row r="198" spans="26:33" x14ac:dyDescent="0.3">
      <c r="Z198" s="68"/>
      <c r="AA198" s="2" t="s">
        <v>150</v>
      </c>
      <c r="AB198" s="27">
        <v>75</v>
      </c>
      <c r="AC198" s="55">
        <v>13566.38</v>
      </c>
      <c r="AD198" s="27">
        <v>100</v>
      </c>
      <c r="AE198" s="55">
        <v>19950.009999999998</v>
      </c>
      <c r="AF198" s="2"/>
      <c r="AG198" s="20"/>
    </row>
    <row r="199" spans="26:33" x14ac:dyDescent="0.3">
      <c r="Z199" s="66" t="s">
        <v>134</v>
      </c>
      <c r="AA199" s="66"/>
      <c r="AB199" s="54">
        <f>SUM(AB184:AB198)</f>
        <v>4110</v>
      </c>
      <c r="AC199" s="56">
        <f t="shared" ref="AC199:AG199" si="12">SUM(AC184:AC198)</f>
        <v>734730.47</v>
      </c>
      <c r="AD199" s="54">
        <f t="shared" si="12"/>
        <v>10368</v>
      </c>
      <c r="AE199" s="56">
        <f t="shared" si="12"/>
        <v>2004972.2399999998</v>
      </c>
      <c r="AF199" s="54">
        <f t="shared" si="12"/>
        <v>2408.5</v>
      </c>
      <c r="AG199" s="56">
        <f t="shared" si="12"/>
        <v>486964.47</v>
      </c>
    </row>
    <row r="200" spans="26:33" x14ac:dyDescent="0.3">
      <c r="Z200" s="68" t="s">
        <v>135</v>
      </c>
      <c r="AA200" s="2" t="s">
        <v>140</v>
      </c>
      <c r="AB200" s="27">
        <v>0</v>
      </c>
      <c r="AC200" s="55">
        <v>0</v>
      </c>
      <c r="AD200" s="27">
        <v>515</v>
      </c>
      <c r="AE200" s="55">
        <v>111720.7</v>
      </c>
      <c r="AF200" s="2"/>
      <c r="AG200" s="20"/>
    </row>
    <row r="201" spans="26:33" x14ac:dyDescent="0.3">
      <c r="Z201" s="68"/>
      <c r="AA201" s="2" t="s">
        <v>156</v>
      </c>
      <c r="AB201" s="27">
        <v>0</v>
      </c>
      <c r="AC201" s="55">
        <v>0</v>
      </c>
      <c r="AD201" s="27">
        <v>378.5</v>
      </c>
      <c r="AE201" s="55">
        <v>80608.81</v>
      </c>
      <c r="AF201" s="2">
        <v>109</v>
      </c>
      <c r="AG201" s="20">
        <v>24073.23</v>
      </c>
    </row>
    <row r="202" spans="26:33" x14ac:dyDescent="0.3">
      <c r="Z202" s="68"/>
      <c r="AA202" s="2" t="s">
        <v>141</v>
      </c>
      <c r="AB202" s="27">
        <v>0</v>
      </c>
      <c r="AC202" s="55">
        <v>0</v>
      </c>
      <c r="AD202" s="27">
        <v>39</v>
      </c>
      <c r="AE202" s="55">
        <v>8236.6500000000015</v>
      </c>
      <c r="AF202" s="2">
        <v>53.5</v>
      </c>
      <c r="AG202" s="20">
        <v>12183.79</v>
      </c>
    </row>
    <row r="203" spans="26:33" x14ac:dyDescent="0.3">
      <c r="Z203" s="68"/>
      <c r="AA203" s="2" t="s">
        <v>153</v>
      </c>
      <c r="AB203" s="27">
        <v>0</v>
      </c>
      <c r="AC203" s="55">
        <v>0</v>
      </c>
      <c r="AD203" s="27">
        <v>275</v>
      </c>
      <c r="AE203" s="55">
        <v>60087.750000000007</v>
      </c>
      <c r="AF203" s="2"/>
      <c r="AG203" s="20"/>
    </row>
    <row r="204" spans="26:33" x14ac:dyDescent="0.3">
      <c r="Z204" s="68"/>
      <c r="AA204" s="2" t="s">
        <v>159</v>
      </c>
      <c r="AB204" s="27">
        <v>0</v>
      </c>
      <c r="AC204" s="55">
        <v>0</v>
      </c>
      <c r="AD204" s="27">
        <v>450</v>
      </c>
      <c r="AE204" s="55">
        <v>98325.430000000008</v>
      </c>
      <c r="AF204" s="2">
        <v>50</v>
      </c>
      <c r="AG204" s="20">
        <v>11400</v>
      </c>
    </row>
    <row r="205" spans="26:33" x14ac:dyDescent="0.3">
      <c r="Z205" s="68"/>
      <c r="AA205" s="2" t="s">
        <v>143</v>
      </c>
      <c r="AB205" s="27">
        <v>25</v>
      </c>
      <c r="AC205" s="55">
        <v>5224.91</v>
      </c>
      <c r="AD205" s="27">
        <v>325</v>
      </c>
      <c r="AE205" s="55">
        <v>69349.95</v>
      </c>
      <c r="AF205" s="2"/>
      <c r="AG205" s="20"/>
    </row>
    <row r="206" spans="26:33" x14ac:dyDescent="0.3">
      <c r="Z206" s="68"/>
      <c r="AA206" s="2" t="s">
        <v>144</v>
      </c>
      <c r="AB206" s="27">
        <v>0</v>
      </c>
      <c r="AC206" s="55">
        <v>0</v>
      </c>
      <c r="AD206" s="27">
        <v>475</v>
      </c>
      <c r="AE206" s="55">
        <v>97613.599999999991</v>
      </c>
      <c r="AF206" s="2">
        <v>1375</v>
      </c>
      <c r="AG206" s="20">
        <v>300200.57999999996</v>
      </c>
    </row>
    <row r="207" spans="26:33" x14ac:dyDescent="0.3">
      <c r="Z207" s="68"/>
      <c r="AA207" s="2" t="s">
        <v>145</v>
      </c>
      <c r="AB207" s="27">
        <v>270</v>
      </c>
      <c r="AC207" s="55">
        <v>56154.689999999995</v>
      </c>
      <c r="AD207" s="27">
        <v>690</v>
      </c>
      <c r="AE207" s="55">
        <v>149008.51</v>
      </c>
      <c r="AF207" s="2"/>
      <c r="AG207" s="20"/>
    </row>
    <row r="208" spans="26:33" x14ac:dyDescent="0.3">
      <c r="Z208" s="68"/>
      <c r="AA208" s="2" t="s">
        <v>81</v>
      </c>
      <c r="AB208" s="27">
        <v>450</v>
      </c>
      <c r="AC208" s="55">
        <v>93033.78</v>
      </c>
      <c r="AD208" s="27">
        <v>3425</v>
      </c>
      <c r="AE208" s="55">
        <v>729630.57000000007</v>
      </c>
      <c r="AF208" s="2">
        <v>550</v>
      </c>
      <c r="AG208" s="20">
        <v>122787.58</v>
      </c>
    </row>
    <row r="209" spans="26:33" x14ac:dyDescent="0.3">
      <c r="Z209" s="68"/>
      <c r="AA209" s="2" t="s">
        <v>146</v>
      </c>
      <c r="AB209" s="27">
        <v>1230</v>
      </c>
      <c r="AC209" s="55">
        <v>256172.03000000003</v>
      </c>
      <c r="AD209" s="27">
        <v>459</v>
      </c>
      <c r="AE209" s="55">
        <v>100871.87999999999</v>
      </c>
      <c r="AF209" s="2">
        <v>50</v>
      </c>
      <c r="AG209" s="20">
        <v>11399.87</v>
      </c>
    </row>
    <row r="210" spans="26:33" x14ac:dyDescent="0.3">
      <c r="Z210" s="68"/>
      <c r="AA210" s="2" t="s">
        <v>151</v>
      </c>
      <c r="AB210" s="27">
        <v>5.5</v>
      </c>
      <c r="AC210" s="55">
        <v>1197.6100000000001</v>
      </c>
      <c r="AD210" s="27">
        <v>21.5</v>
      </c>
      <c r="AE210" s="55">
        <v>4902.0599999999995</v>
      </c>
      <c r="AF210" s="2"/>
      <c r="AG210" s="20"/>
    </row>
    <row r="211" spans="26:33" x14ac:dyDescent="0.3">
      <c r="Z211" s="68"/>
      <c r="AA211" s="2" t="s">
        <v>147</v>
      </c>
      <c r="AB211" s="27">
        <v>0</v>
      </c>
      <c r="AC211" s="55">
        <v>0</v>
      </c>
      <c r="AD211" s="27">
        <v>430</v>
      </c>
      <c r="AE211" s="55">
        <v>87638.290000000008</v>
      </c>
      <c r="AF211" s="2">
        <v>55</v>
      </c>
      <c r="AG211" s="20">
        <v>12539.820000000002</v>
      </c>
    </row>
    <row r="212" spans="26:33" x14ac:dyDescent="0.3">
      <c r="Z212" s="68"/>
      <c r="AA212" s="2" t="s">
        <v>148</v>
      </c>
      <c r="AB212" s="27">
        <v>880</v>
      </c>
      <c r="AC212" s="55">
        <v>182819.20000000001</v>
      </c>
      <c r="AD212" s="27">
        <v>1450</v>
      </c>
      <c r="AE212" s="55">
        <v>308056.78000000003</v>
      </c>
      <c r="AF212" s="2"/>
      <c r="AG212" s="20"/>
    </row>
    <row r="213" spans="26:33" x14ac:dyDescent="0.3">
      <c r="Z213" s="68"/>
      <c r="AA213" s="2" t="s">
        <v>82</v>
      </c>
      <c r="AB213" s="27">
        <v>1667</v>
      </c>
      <c r="AC213" s="55">
        <v>342768.28999999992</v>
      </c>
      <c r="AD213" s="27">
        <v>1197.5</v>
      </c>
      <c r="AE213" s="55">
        <v>254166.48999999996</v>
      </c>
      <c r="AF213" s="2">
        <v>381.5</v>
      </c>
      <c r="AG213" s="20">
        <v>83946.250000000015</v>
      </c>
    </row>
    <row r="214" spans="26:33" x14ac:dyDescent="0.3">
      <c r="Z214" s="68"/>
      <c r="AA214" s="2" t="s">
        <v>150</v>
      </c>
      <c r="AB214" s="27">
        <v>75</v>
      </c>
      <c r="AC214" s="55">
        <v>15697.08</v>
      </c>
      <c r="AD214" s="27">
        <v>345</v>
      </c>
      <c r="AE214" s="55">
        <v>75887.88</v>
      </c>
      <c r="AF214" s="2"/>
      <c r="AG214" s="20"/>
    </row>
    <row r="215" spans="26:33" x14ac:dyDescent="0.3">
      <c r="Z215" s="66" t="s">
        <v>136</v>
      </c>
      <c r="AA215" s="66"/>
      <c r="AB215" s="54">
        <f>SUM(AB200:AB214)</f>
        <v>4602.5</v>
      </c>
      <c r="AC215" s="56">
        <f t="shared" ref="AC215:AG215" si="13">SUM(AC200:AC214)</f>
        <v>953067.58999999985</v>
      </c>
      <c r="AD215" s="54">
        <f t="shared" si="13"/>
        <v>10475.5</v>
      </c>
      <c r="AE215" s="56">
        <f t="shared" si="13"/>
        <v>2236105.35</v>
      </c>
      <c r="AF215" s="54">
        <f t="shared" si="13"/>
        <v>2624</v>
      </c>
      <c r="AG215" s="56">
        <f t="shared" si="13"/>
        <v>578531.12</v>
      </c>
    </row>
    <row r="216" spans="26:33" x14ac:dyDescent="0.3">
      <c r="Z216" s="69" t="s">
        <v>137</v>
      </c>
      <c r="AA216" s="69"/>
      <c r="AB216" s="53">
        <f t="shared" ref="AB216:AG216" si="14">SUM(AB215,AB199,AB183,AB163,AB150,AB131,AB113,AB95,AB81,AB64,AB46,AB28,AB16)</f>
        <v>95987</v>
      </c>
      <c r="AC216" s="52">
        <f t="shared" si="14"/>
        <v>17060152.98</v>
      </c>
      <c r="AD216" s="53">
        <f t="shared" si="14"/>
        <v>125818.14000000001</v>
      </c>
      <c r="AE216" s="52">
        <f t="shared" si="14"/>
        <v>25576300.610000003</v>
      </c>
      <c r="AF216" s="53">
        <f t="shared" si="14"/>
        <v>22928.5</v>
      </c>
      <c r="AG216" s="52">
        <f t="shared" si="14"/>
        <v>5124381.83</v>
      </c>
    </row>
  </sheetData>
  <mergeCells count="49">
    <mergeCell ref="V1:W1"/>
    <mergeCell ref="Q1:Q2"/>
    <mergeCell ref="M1:M2"/>
    <mergeCell ref="L1:L2"/>
    <mergeCell ref="K1:K2"/>
    <mergeCell ref="R1:S1"/>
    <mergeCell ref="T1:U1"/>
    <mergeCell ref="Z64:AA64"/>
    <mergeCell ref="D1:D2"/>
    <mergeCell ref="C1:C2"/>
    <mergeCell ref="B1:B2"/>
    <mergeCell ref="A1:A2"/>
    <mergeCell ref="Z2:Z15"/>
    <mergeCell ref="Z16:AA16"/>
    <mergeCell ref="J1:J2"/>
    <mergeCell ref="I1:I2"/>
    <mergeCell ref="H1:H2"/>
    <mergeCell ref="G1:G2"/>
    <mergeCell ref="F1:F2"/>
    <mergeCell ref="E1:E2"/>
    <mergeCell ref="P1:P2"/>
    <mergeCell ref="O1:O2"/>
    <mergeCell ref="N1:N2"/>
    <mergeCell ref="Z17:Z27"/>
    <mergeCell ref="Z28:AA28"/>
    <mergeCell ref="Z29:Z45"/>
    <mergeCell ref="Z46:AA46"/>
    <mergeCell ref="Z47:Z63"/>
    <mergeCell ref="Z81:AA81"/>
    <mergeCell ref="Z82:Z94"/>
    <mergeCell ref="Z95:AA95"/>
    <mergeCell ref="Z96:Z112"/>
    <mergeCell ref="Z113:AA113"/>
    <mergeCell ref="Z216:AA216"/>
    <mergeCell ref="Z132:Z149"/>
    <mergeCell ref="A16:B16"/>
    <mergeCell ref="X1:X2"/>
    <mergeCell ref="Z164:Z182"/>
    <mergeCell ref="Z183:AA183"/>
    <mergeCell ref="Z184:Z198"/>
    <mergeCell ref="Z199:AA199"/>
    <mergeCell ref="Z200:Z214"/>
    <mergeCell ref="Z215:AA215"/>
    <mergeCell ref="Z114:Z130"/>
    <mergeCell ref="Z131:AA131"/>
    <mergeCell ref="Z150:AA150"/>
    <mergeCell ref="Z151:Z162"/>
    <mergeCell ref="Z163:AA163"/>
    <mergeCell ref="Z65:Z80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3EEBC7E9-459F-4EAB-848B-856426AE120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'PRODUCTS LAUNCHED IN 2023'!AC2:AE2</xm:f>
              <xm:sqref>AH2</xm:sqref>
            </x14:sparkline>
            <x14:sparkline>
              <xm:f>'PRODUCTS LAUNCHED IN 2023'!AC3:AE3</xm:f>
              <xm:sqref>AH3</xm:sqref>
            </x14:sparkline>
            <x14:sparkline>
              <xm:f>'PRODUCTS LAUNCHED IN 2023'!AC4:AE4</xm:f>
              <xm:sqref>AH4</xm:sqref>
            </x14:sparkline>
            <x14:sparkline>
              <xm:f>'PRODUCTS LAUNCHED IN 2023'!AC5:AE5</xm:f>
              <xm:sqref>AH5</xm:sqref>
            </x14:sparkline>
            <x14:sparkline>
              <xm:f>'PRODUCTS LAUNCHED IN 2023'!AC6:AE6</xm:f>
              <xm:sqref>AH6</xm:sqref>
            </x14:sparkline>
            <x14:sparkline>
              <xm:f>'PRODUCTS LAUNCHED IN 2023'!AC7:AE7</xm:f>
              <xm:sqref>AH7</xm:sqref>
            </x14:sparkline>
            <x14:sparkline>
              <xm:f>'PRODUCTS LAUNCHED IN 2023'!AC8:AE8</xm:f>
              <xm:sqref>AH8</xm:sqref>
            </x14:sparkline>
            <x14:sparkline>
              <xm:f>'PRODUCTS LAUNCHED IN 2023'!AC9:AE9</xm:f>
              <xm:sqref>AH9</xm:sqref>
            </x14:sparkline>
            <x14:sparkline>
              <xm:f>'PRODUCTS LAUNCHED IN 2023'!AC10:AE10</xm:f>
              <xm:sqref>AH10</xm:sqref>
            </x14:sparkline>
            <x14:sparkline>
              <xm:f>'PRODUCTS LAUNCHED IN 2023'!AC11:AE11</xm:f>
              <xm:sqref>AH11</xm:sqref>
            </x14:sparkline>
            <x14:sparkline>
              <xm:f>'PRODUCTS LAUNCHED IN 2023'!AC12:AE12</xm:f>
              <xm:sqref>AH12</xm:sqref>
            </x14:sparkline>
            <x14:sparkline>
              <xm:f>'PRODUCTS LAUNCHED IN 2023'!AC13:AE13</xm:f>
              <xm:sqref>AH13</xm:sqref>
            </x14:sparkline>
            <x14:sparkline>
              <xm:f>'PRODUCTS LAUNCHED IN 2023'!AC14:AE14</xm:f>
              <xm:sqref>AH14</xm:sqref>
            </x14:sparkline>
            <x14:sparkline>
              <xm:f>'PRODUCTS LAUNCHED IN 2023'!AC15:AE15</xm:f>
              <xm:sqref>AH15</xm:sqref>
            </x14:sparkline>
            <x14:sparkline>
              <xm:f>'PRODUCTS LAUNCHED IN 2023'!AC16:AE16</xm:f>
              <xm:sqref>AH16</xm:sqref>
            </x14:sparkline>
            <x14:sparkline>
              <xm:f>'PRODUCTS LAUNCHED IN 2023'!AC17:AE17</xm:f>
              <xm:sqref>AH17</xm:sqref>
            </x14:sparkline>
            <x14:sparkline>
              <xm:f>'PRODUCTS LAUNCHED IN 2023'!AC18:AE18</xm:f>
              <xm:sqref>AH18</xm:sqref>
            </x14:sparkline>
            <x14:sparkline>
              <xm:f>'PRODUCTS LAUNCHED IN 2023'!AC19:AE19</xm:f>
              <xm:sqref>AH19</xm:sqref>
            </x14:sparkline>
            <x14:sparkline>
              <xm:f>'PRODUCTS LAUNCHED IN 2023'!AC20:AE20</xm:f>
              <xm:sqref>AH20</xm:sqref>
            </x14:sparkline>
            <x14:sparkline>
              <xm:f>'PRODUCTS LAUNCHED IN 2023'!AC21:AE21</xm:f>
              <xm:sqref>AH21</xm:sqref>
            </x14:sparkline>
            <x14:sparkline>
              <xm:f>'PRODUCTS LAUNCHED IN 2023'!AC22:AE22</xm:f>
              <xm:sqref>AH22</xm:sqref>
            </x14:sparkline>
            <x14:sparkline>
              <xm:f>'PRODUCTS LAUNCHED IN 2023'!AC23:AE23</xm:f>
              <xm:sqref>AH23</xm:sqref>
            </x14:sparkline>
            <x14:sparkline>
              <xm:f>'PRODUCTS LAUNCHED IN 2023'!AC24:AE24</xm:f>
              <xm:sqref>AH24</xm:sqref>
            </x14:sparkline>
            <x14:sparkline>
              <xm:f>'PRODUCTS LAUNCHED IN 2023'!AC25:AE25</xm:f>
              <xm:sqref>AH25</xm:sqref>
            </x14:sparkline>
            <x14:sparkline>
              <xm:f>'PRODUCTS LAUNCHED IN 2023'!AC26:AE26</xm:f>
              <xm:sqref>AH26</xm:sqref>
            </x14:sparkline>
            <x14:sparkline>
              <xm:f>'PRODUCTS LAUNCHED IN 2023'!AC27:AE27</xm:f>
              <xm:sqref>AH27</xm:sqref>
            </x14:sparkline>
            <x14:sparkline>
              <xm:f>'PRODUCTS LAUNCHED IN 2023'!AC28:AE28</xm:f>
              <xm:sqref>AH28</xm:sqref>
            </x14:sparkline>
            <x14:sparkline>
              <xm:f>'PRODUCTS LAUNCHED IN 2023'!AC29:AE29</xm:f>
              <xm:sqref>AH29</xm:sqref>
            </x14:sparkline>
            <x14:sparkline>
              <xm:f>'PRODUCTS LAUNCHED IN 2023'!AC30:AE30</xm:f>
              <xm:sqref>AH30</xm:sqref>
            </x14:sparkline>
            <x14:sparkline>
              <xm:f>'PRODUCTS LAUNCHED IN 2023'!AC31:AE31</xm:f>
              <xm:sqref>AH31</xm:sqref>
            </x14:sparkline>
            <x14:sparkline>
              <xm:f>'PRODUCTS LAUNCHED IN 2023'!AC32:AE32</xm:f>
              <xm:sqref>AH32</xm:sqref>
            </x14:sparkline>
            <x14:sparkline>
              <xm:f>'PRODUCTS LAUNCHED IN 2023'!AC33:AE33</xm:f>
              <xm:sqref>AH33</xm:sqref>
            </x14:sparkline>
            <x14:sparkline>
              <xm:f>'PRODUCTS LAUNCHED IN 2023'!AC34:AE34</xm:f>
              <xm:sqref>AH34</xm:sqref>
            </x14:sparkline>
            <x14:sparkline>
              <xm:f>'PRODUCTS LAUNCHED IN 2023'!AC35:AE35</xm:f>
              <xm:sqref>AH35</xm:sqref>
            </x14:sparkline>
            <x14:sparkline>
              <xm:f>'PRODUCTS LAUNCHED IN 2023'!AC36:AE36</xm:f>
              <xm:sqref>AH36</xm:sqref>
            </x14:sparkline>
            <x14:sparkline>
              <xm:f>'PRODUCTS LAUNCHED IN 2023'!AC37:AE37</xm:f>
              <xm:sqref>AH37</xm:sqref>
            </x14:sparkline>
            <x14:sparkline>
              <xm:f>'PRODUCTS LAUNCHED IN 2023'!AC38:AE38</xm:f>
              <xm:sqref>AH38</xm:sqref>
            </x14:sparkline>
            <x14:sparkline>
              <xm:f>'PRODUCTS LAUNCHED IN 2023'!AC39:AE39</xm:f>
              <xm:sqref>AH39</xm:sqref>
            </x14:sparkline>
            <x14:sparkline>
              <xm:f>'PRODUCTS LAUNCHED IN 2023'!AC40:AE40</xm:f>
              <xm:sqref>AH40</xm:sqref>
            </x14:sparkline>
            <x14:sparkline>
              <xm:f>'PRODUCTS LAUNCHED IN 2023'!AC41:AE41</xm:f>
              <xm:sqref>AH41</xm:sqref>
            </x14:sparkline>
            <x14:sparkline>
              <xm:f>'PRODUCTS LAUNCHED IN 2023'!AC42:AE42</xm:f>
              <xm:sqref>AH42</xm:sqref>
            </x14:sparkline>
            <x14:sparkline>
              <xm:f>'PRODUCTS LAUNCHED IN 2023'!AC43:AE43</xm:f>
              <xm:sqref>AH43</xm:sqref>
            </x14:sparkline>
            <x14:sparkline>
              <xm:f>'PRODUCTS LAUNCHED IN 2023'!AC44:AE44</xm:f>
              <xm:sqref>AH44</xm:sqref>
            </x14:sparkline>
            <x14:sparkline>
              <xm:f>'PRODUCTS LAUNCHED IN 2023'!AC45:AE45</xm:f>
              <xm:sqref>AH45</xm:sqref>
            </x14:sparkline>
            <x14:sparkline>
              <xm:f>'PRODUCTS LAUNCHED IN 2023'!AC46:AE46</xm:f>
              <xm:sqref>AH46</xm:sqref>
            </x14:sparkline>
            <x14:sparkline>
              <xm:f>'PRODUCTS LAUNCHED IN 2023'!AC47:AE47</xm:f>
              <xm:sqref>AH47</xm:sqref>
            </x14:sparkline>
            <x14:sparkline>
              <xm:f>'PRODUCTS LAUNCHED IN 2023'!AC48:AE48</xm:f>
              <xm:sqref>AH48</xm:sqref>
            </x14:sparkline>
            <x14:sparkline>
              <xm:f>'PRODUCTS LAUNCHED IN 2023'!AC49:AE49</xm:f>
              <xm:sqref>AH49</xm:sqref>
            </x14:sparkline>
            <x14:sparkline>
              <xm:f>'PRODUCTS LAUNCHED IN 2023'!AC50:AE50</xm:f>
              <xm:sqref>AH50</xm:sqref>
            </x14:sparkline>
            <x14:sparkline>
              <xm:f>'PRODUCTS LAUNCHED IN 2023'!AC51:AE51</xm:f>
              <xm:sqref>AH51</xm:sqref>
            </x14:sparkline>
            <x14:sparkline>
              <xm:f>'PRODUCTS LAUNCHED IN 2023'!AC52:AE52</xm:f>
              <xm:sqref>AH52</xm:sqref>
            </x14:sparkline>
            <x14:sparkline>
              <xm:f>'PRODUCTS LAUNCHED IN 2023'!AC53:AE53</xm:f>
              <xm:sqref>AH53</xm:sqref>
            </x14:sparkline>
            <x14:sparkline>
              <xm:f>'PRODUCTS LAUNCHED IN 2023'!AC54:AE54</xm:f>
              <xm:sqref>AH54</xm:sqref>
            </x14:sparkline>
            <x14:sparkline>
              <xm:f>'PRODUCTS LAUNCHED IN 2023'!AC55:AE55</xm:f>
              <xm:sqref>AH55</xm:sqref>
            </x14:sparkline>
            <x14:sparkline>
              <xm:f>'PRODUCTS LAUNCHED IN 2023'!AC56:AE56</xm:f>
              <xm:sqref>AH56</xm:sqref>
            </x14:sparkline>
            <x14:sparkline>
              <xm:f>'PRODUCTS LAUNCHED IN 2023'!AC57:AE57</xm:f>
              <xm:sqref>AH57</xm:sqref>
            </x14:sparkline>
            <x14:sparkline>
              <xm:f>'PRODUCTS LAUNCHED IN 2023'!AC58:AE58</xm:f>
              <xm:sqref>AH58</xm:sqref>
            </x14:sparkline>
            <x14:sparkline>
              <xm:f>'PRODUCTS LAUNCHED IN 2023'!AC59:AE59</xm:f>
              <xm:sqref>AH59</xm:sqref>
            </x14:sparkline>
            <x14:sparkline>
              <xm:f>'PRODUCTS LAUNCHED IN 2023'!AC60:AE60</xm:f>
              <xm:sqref>AH60</xm:sqref>
            </x14:sparkline>
            <x14:sparkline>
              <xm:f>'PRODUCTS LAUNCHED IN 2023'!AC61:AE61</xm:f>
              <xm:sqref>AH61</xm:sqref>
            </x14:sparkline>
            <x14:sparkline>
              <xm:f>'PRODUCTS LAUNCHED IN 2023'!AC62:AE62</xm:f>
              <xm:sqref>AH62</xm:sqref>
            </x14:sparkline>
            <x14:sparkline>
              <xm:f>'PRODUCTS LAUNCHED IN 2023'!AC63:AE63</xm:f>
              <xm:sqref>AH63</xm:sqref>
            </x14:sparkline>
            <x14:sparkline>
              <xm:f>'PRODUCTS LAUNCHED IN 2023'!AC64:AE64</xm:f>
              <xm:sqref>AH64</xm:sqref>
            </x14:sparkline>
            <x14:sparkline>
              <xm:f>'PRODUCTS LAUNCHED IN 2023'!AC65:AE65</xm:f>
              <xm:sqref>AH65</xm:sqref>
            </x14:sparkline>
            <x14:sparkline>
              <xm:f>'PRODUCTS LAUNCHED IN 2023'!AC66:AE66</xm:f>
              <xm:sqref>AH66</xm:sqref>
            </x14:sparkline>
            <x14:sparkline>
              <xm:f>'PRODUCTS LAUNCHED IN 2023'!AC67:AE67</xm:f>
              <xm:sqref>AH67</xm:sqref>
            </x14:sparkline>
            <x14:sparkline>
              <xm:f>'PRODUCTS LAUNCHED IN 2023'!AC68:AE68</xm:f>
              <xm:sqref>AH68</xm:sqref>
            </x14:sparkline>
            <x14:sparkline>
              <xm:f>'PRODUCTS LAUNCHED IN 2023'!AC69:AE69</xm:f>
              <xm:sqref>AH69</xm:sqref>
            </x14:sparkline>
            <x14:sparkline>
              <xm:f>'PRODUCTS LAUNCHED IN 2023'!AC70:AE70</xm:f>
              <xm:sqref>AH70</xm:sqref>
            </x14:sparkline>
            <x14:sparkline>
              <xm:f>'PRODUCTS LAUNCHED IN 2023'!AC71:AE71</xm:f>
              <xm:sqref>AH71</xm:sqref>
            </x14:sparkline>
            <x14:sparkline>
              <xm:f>'PRODUCTS LAUNCHED IN 2023'!AC72:AE72</xm:f>
              <xm:sqref>AH72</xm:sqref>
            </x14:sparkline>
            <x14:sparkline>
              <xm:f>'PRODUCTS LAUNCHED IN 2023'!AC73:AE73</xm:f>
              <xm:sqref>AH73</xm:sqref>
            </x14:sparkline>
            <x14:sparkline>
              <xm:f>'PRODUCTS LAUNCHED IN 2023'!AC74:AE74</xm:f>
              <xm:sqref>AH74</xm:sqref>
            </x14:sparkline>
            <x14:sparkline>
              <xm:f>'PRODUCTS LAUNCHED IN 2023'!AC75:AE75</xm:f>
              <xm:sqref>AH75</xm:sqref>
            </x14:sparkline>
            <x14:sparkline>
              <xm:f>'PRODUCTS LAUNCHED IN 2023'!AC76:AE76</xm:f>
              <xm:sqref>AH76</xm:sqref>
            </x14:sparkline>
            <x14:sparkline>
              <xm:f>'PRODUCTS LAUNCHED IN 2023'!AC77:AE77</xm:f>
              <xm:sqref>AH77</xm:sqref>
            </x14:sparkline>
            <x14:sparkline>
              <xm:f>'PRODUCTS LAUNCHED IN 2023'!AC78:AE78</xm:f>
              <xm:sqref>AH78</xm:sqref>
            </x14:sparkline>
            <x14:sparkline>
              <xm:f>'PRODUCTS LAUNCHED IN 2023'!AC79:AE79</xm:f>
              <xm:sqref>AH79</xm:sqref>
            </x14:sparkline>
            <x14:sparkline>
              <xm:f>'PRODUCTS LAUNCHED IN 2023'!AC80:AE80</xm:f>
              <xm:sqref>AH80</xm:sqref>
            </x14:sparkline>
            <x14:sparkline>
              <xm:f>'PRODUCTS LAUNCHED IN 2023'!AC81:AE81</xm:f>
              <xm:sqref>AH81</xm:sqref>
            </x14:sparkline>
            <x14:sparkline>
              <xm:f>'PRODUCTS LAUNCHED IN 2023'!AC82:AE82</xm:f>
              <xm:sqref>AH82</xm:sqref>
            </x14:sparkline>
            <x14:sparkline>
              <xm:f>'PRODUCTS LAUNCHED IN 2023'!AC83:AE83</xm:f>
              <xm:sqref>AH83</xm:sqref>
            </x14:sparkline>
            <x14:sparkline>
              <xm:f>'PRODUCTS LAUNCHED IN 2023'!AC84:AE84</xm:f>
              <xm:sqref>AH84</xm:sqref>
            </x14:sparkline>
            <x14:sparkline>
              <xm:f>'PRODUCTS LAUNCHED IN 2023'!AC85:AE85</xm:f>
              <xm:sqref>AH85</xm:sqref>
            </x14:sparkline>
            <x14:sparkline>
              <xm:f>'PRODUCTS LAUNCHED IN 2023'!AC86:AE86</xm:f>
              <xm:sqref>AH86</xm:sqref>
            </x14:sparkline>
            <x14:sparkline>
              <xm:f>'PRODUCTS LAUNCHED IN 2023'!AC87:AE87</xm:f>
              <xm:sqref>AH87</xm:sqref>
            </x14:sparkline>
            <x14:sparkline>
              <xm:f>'PRODUCTS LAUNCHED IN 2023'!AC88:AE88</xm:f>
              <xm:sqref>AH88</xm:sqref>
            </x14:sparkline>
            <x14:sparkline>
              <xm:f>'PRODUCTS LAUNCHED IN 2023'!AC89:AE89</xm:f>
              <xm:sqref>AH89</xm:sqref>
            </x14:sparkline>
            <x14:sparkline>
              <xm:f>'PRODUCTS LAUNCHED IN 2023'!AC90:AE90</xm:f>
              <xm:sqref>AH90</xm:sqref>
            </x14:sparkline>
            <x14:sparkline>
              <xm:f>'PRODUCTS LAUNCHED IN 2023'!AC91:AE91</xm:f>
              <xm:sqref>AH91</xm:sqref>
            </x14:sparkline>
            <x14:sparkline>
              <xm:f>'PRODUCTS LAUNCHED IN 2023'!AC92:AE92</xm:f>
              <xm:sqref>AH92</xm:sqref>
            </x14:sparkline>
            <x14:sparkline>
              <xm:f>'PRODUCTS LAUNCHED IN 2023'!AC93:AE93</xm:f>
              <xm:sqref>AH93</xm:sqref>
            </x14:sparkline>
            <x14:sparkline>
              <xm:f>'PRODUCTS LAUNCHED IN 2023'!AC94:AE94</xm:f>
              <xm:sqref>AH94</xm:sqref>
            </x14:sparkline>
            <x14:sparkline>
              <xm:f>'PRODUCTS LAUNCHED IN 2023'!AC95:AE95</xm:f>
              <xm:sqref>AH95</xm:sqref>
            </x14:sparkline>
            <x14:sparkline>
              <xm:f>'PRODUCTS LAUNCHED IN 2023'!AC96:AE96</xm:f>
              <xm:sqref>AH96</xm:sqref>
            </x14:sparkline>
            <x14:sparkline>
              <xm:f>'PRODUCTS LAUNCHED IN 2023'!AC97:AE97</xm:f>
              <xm:sqref>AH97</xm:sqref>
            </x14:sparkline>
            <x14:sparkline>
              <xm:f>'PRODUCTS LAUNCHED IN 2023'!AC98:AE98</xm:f>
              <xm:sqref>AH98</xm:sqref>
            </x14:sparkline>
            <x14:sparkline>
              <xm:f>'PRODUCTS LAUNCHED IN 2023'!AC99:AE99</xm:f>
              <xm:sqref>AH99</xm:sqref>
            </x14:sparkline>
            <x14:sparkline>
              <xm:f>'PRODUCTS LAUNCHED IN 2023'!AC100:AE100</xm:f>
              <xm:sqref>AH100</xm:sqref>
            </x14:sparkline>
            <x14:sparkline>
              <xm:f>'PRODUCTS LAUNCHED IN 2023'!AC101:AE101</xm:f>
              <xm:sqref>AH101</xm:sqref>
            </x14:sparkline>
            <x14:sparkline>
              <xm:f>'PRODUCTS LAUNCHED IN 2023'!AC102:AE102</xm:f>
              <xm:sqref>AH102</xm:sqref>
            </x14:sparkline>
            <x14:sparkline>
              <xm:f>'PRODUCTS LAUNCHED IN 2023'!AC103:AE103</xm:f>
              <xm:sqref>AH103</xm:sqref>
            </x14:sparkline>
            <x14:sparkline>
              <xm:f>'PRODUCTS LAUNCHED IN 2023'!AC104:AE104</xm:f>
              <xm:sqref>AH104</xm:sqref>
            </x14:sparkline>
            <x14:sparkline>
              <xm:f>'PRODUCTS LAUNCHED IN 2023'!AC105:AE105</xm:f>
              <xm:sqref>AH105</xm:sqref>
            </x14:sparkline>
            <x14:sparkline>
              <xm:f>'PRODUCTS LAUNCHED IN 2023'!AC106:AE106</xm:f>
              <xm:sqref>AH106</xm:sqref>
            </x14:sparkline>
            <x14:sparkline>
              <xm:f>'PRODUCTS LAUNCHED IN 2023'!AC107:AE107</xm:f>
              <xm:sqref>AH107</xm:sqref>
            </x14:sparkline>
            <x14:sparkline>
              <xm:f>'PRODUCTS LAUNCHED IN 2023'!AC108:AE108</xm:f>
              <xm:sqref>AH108</xm:sqref>
            </x14:sparkline>
            <x14:sparkline>
              <xm:f>'PRODUCTS LAUNCHED IN 2023'!AC109:AE109</xm:f>
              <xm:sqref>AH109</xm:sqref>
            </x14:sparkline>
            <x14:sparkline>
              <xm:f>'PRODUCTS LAUNCHED IN 2023'!AC110:AE110</xm:f>
              <xm:sqref>AH110</xm:sqref>
            </x14:sparkline>
            <x14:sparkline>
              <xm:f>'PRODUCTS LAUNCHED IN 2023'!AC111:AE111</xm:f>
              <xm:sqref>AH111</xm:sqref>
            </x14:sparkline>
            <x14:sparkline>
              <xm:f>'PRODUCTS LAUNCHED IN 2023'!AC112:AE112</xm:f>
              <xm:sqref>AH112</xm:sqref>
            </x14:sparkline>
            <x14:sparkline>
              <xm:f>'PRODUCTS LAUNCHED IN 2023'!AC113:AE113</xm:f>
              <xm:sqref>AH113</xm:sqref>
            </x14:sparkline>
            <x14:sparkline>
              <xm:f>'PRODUCTS LAUNCHED IN 2023'!AC114:AE114</xm:f>
              <xm:sqref>AH114</xm:sqref>
            </x14:sparkline>
            <x14:sparkline>
              <xm:f>'PRODUCTS LAUNCHED IN 2023'!AC115:AE115</xm:f>
              <xm:sqref>AH115</xm:sqref>
            </x14:sparkline>
            <x14:sparkline>
              <xm:f>'PRODUCTS LAUNCHED IN 2023'!AC116:AE116</xm:f>
              <xm:sqref>AH116</xm:sqref>
            </x14:sparkline>
            <x14:sparkline>
              <xm:f>'PRODUCTS LAUNCHED IN 2023'!AC117:AE117</xm:f>
              <xm:sqref>AH117</xm:sqref>
            </x14:sparkline>
            <x14:sparkline>
              <xm:f>'PRODUCTS LAUNCHED IN 2023'!AC118:AE118</xm:f>
              <xm:sqref>AH118</xm:sqref>
            </x14:sparkline>
            <x14:sparkline>
              <xm:f>'PRODUCTS LAUNCHED IN 2023'!AC119:AE119</xm:f>
              <xm:sqref>AH119</xm:sqref>
            </x14:sparkline>
            <x14:sparkline>
              <xm:f>'PRODUCTS LAUNCHED IN 2023'!AC120:AE120</xm:f>
              <xm:sqref>AH120</xm:sqref>
            </x14:sparkline>
            <x14:sparkline>
              <xm:f>'PRODUCTS LAUNCHED IN 2023'!AC121:AE121</xm:f>
              <xm:sqref>AH121</xm:sqref>
            </x14:sparkline>
            <x14:sparkline>
              <xm:f>'PRODUCTS LAUNCHED IN 2023'!AC122:AE122</xm:f>
              <xm:sqref>AH122</xm:sqref>
            </x14:sparkline>
            <x14:sparkline>
              <xm:f>'PRODUCTS LAUNCHED IN 2023'!AC123:AE123</xm:f>
              <xm:sqref>AH123</xm:sqref>
            </x14:sparkline>
            <x14:sparkline>
              <xm:f>'PRODUCTS LAUNCHED IN 2023'!AC124:AE124</xm:f>
              <xm:sqref>AH124</xm:sqref>
            </x14:sparkline>
            <x14:sparkline>
              <xm:f>'PRODUCTS LAUNCHED IN 2023'!AC125:AE125</xm:f>
              <xm:sqref>AH125</xm:sqref>
            </x14:sparkline>
            <x14:sparkline>
              <xm:f>'PRODUCTS LAUNCHED IN 2023'!AC126:AE126</xm:f>
              <xm:sqref>AH126</xm:sqref>
            </x14:sparkline>
            <x14:sparkline>
              <xm:f>'PRODUCTS LAUNCHED IN 2023'!AC127:AE127</xm:f>
              <xm:sqref>AH127</xm:sqref>
            </x14:sparkline>
            <x14:sparkline>
              <xm:f>'PRODUCTS LAUNCHED IN 2023'!AC128:AE128</xm:f>
              <xm:sqref>AH128</xm:sqref>
            </x14:sparkline>
            <x14:sparkline>
              <xm:f>'PRODUCTS LAUNCHED IN 2023'!AC129:AE129</xm:f>
              <xm:sqref>AH129</xm:sqref>
            </x14:sparkline>
            <x14:sparkline>
              <xm:f>'PRODUCTS LAUNCHED IN 2023'!AC130:AE130</xm:f>
              <xm:sqref>AH130</xm:sqref>
            </x14:sparkline>
            <x14:sparkline>
              <xm:f>'PRODUCTS LAUNCHED IN 2023'!AC131:AE131</xm:f>
              <xm:sqref>AH131</xm:sqref>
            </x14:sparkline>
            <x14:sparkline>
              <xm:f>'PRODUCTS LAUNCHED IN 2023'!AC132:AE132</xm:f>
              <xm:sqref>AH132</xm:sqref>
            </x14:sparkline>
            <x14:sparkline>
              <xm:f>'PRODUCTS LAUNCHED IN 2023'!AC133:AE133</xm:f>
              <xm:sqref>AH133</xm:sqref>
            </x14:sparkline>
            <x14:sparkline>
              <xm:f>'PRODUCTS LAUNCHED IN 2023'!AC134:AE134</xm:f>
              <xm:sqref>AH134</xm:sqref>
            </x14:sparkline>
            <x14:sparkline>
              <xm:f>'PRODUCTS LAUNCHED IN 2023'!AC135:AE135</xm:f>
              <xm:sqref>AH135</xm:sqref>
            </x14:sparkline>
            <x14:sparkline>
              <xm:f>'PRODUCTS LAUNCHED IN 2023'!AC136:AE136</xm:f>
              <xm:sqref>AH136</xm:sqref>
            </x14:sparkline>
            <x14:sparkline>
              <xm:f>'PRODUCTS LAUNCHED IN 2023'!AC137:AE137</xm:f>
              <xm:sqref>AH137</xm:sqref>
            </x14:sparkline>
            <x14:sparkline>
              <xm:f>'PRODUCTS LAUNCHED IN 2023'!AC138:AE138</xm:f>
              <xm:sqref>AH138</xm:sqref>
            </x14:sparkline>
            <x14:sparkline>
              <xm:f>'PRODUCTS LAUNCHED IN 2023'!AC139:AE139</xm:f>
              <xm:sqref>AH139</xm:sqref>
            </x14:sparkline>
            <x14:sparkline>
              <xm:f>'PRODUCTS LAUNCHED IN 2023'!AC140:AE140</xm:f>
              <xm:sqref>AH140</xm:sqref>
            </x14:sparkline>
            <x14:sparkline>
              <xm:f>'PRODUCTS LAUNCHED IN 2023'!AC141:AE141</xm:f>
              <xm:sqref>AH141</xm:sqref>
            </x14:sparkline>
            <x14:sparkline>
              <xm:f>'PRODUCTS LAUNCHED IN 2023'!AC142:AE142</xm:f>
              <xm:sqref>AH142</xm:sqref>
            </x14:sparkline>
            <x14:sparkline>
              <xm:f>'PRODUCTS LAUNCHED IN 2023'!AC143:AE143</xm:f>
              <xm:sqref>AH143</xm:sqref>
            </x14:sparkline>
            <x14:sparkline>
              <xm:f>'PRODUCTS LAUNCHED IN 2023'!AC144:AE144</xm:f>
              <xm:sqref>AH144</xm:sqref>
            </x14:sparkline>
            <x14:sparkline>
              <xm:f>'PRODUCTS LAUNCHED IN 2023'!AC145:AE145</xm:f>
              <xm:sqref>AH145</xm:sqref>
            </x14:sparkline>
            <x14:sparkline>
              <xm:f>'PRODUCTS LAUNCHED IN 2023'!AC146:AE146</xm:f>
              <xm:sqref>AH146</xm:sqref>
            </x14:sparkline>
            <x14:sparkline>
              <xm:f>'PRODUCTS LAUNCHED IN 2023'!AC147:AE147</xm:f>
              <xm:sqref>AH147</xm:sqref>
            </x14:sparkline>
            <x14:sparkline>
              <xm:f>'PRODUCTS LAUNCHED IN 2023'!AC148:AE148</xm:f>
              <xm:sqref>AH148</xm:sqref>
            </x14:sparkline>
            <x14:sparkline>
              <xm:f>'PRODUCTS LAUNCHED IN 2023'!AC149:AE149</xm:f>
              <xm:sqref>AH149</xm:sqref>
            </x14:sparkline>
            <x14:sparkline>
              <xm:f>'PRODUCTS LAUNCHED IN 2023'!AC150:AE150</xm:f>
              <xm:sqref>AH150</xm:sqref>
            </x14:sparkline>
            <x14:sparkline>
              <xm:f>'PRODUCTS LAUNCHED IN 2023'!AC151:AE151</xm:f>
              <xm:sqref>AH151</xm:sqref>
            </x14:sparkline>
            <x14:sparkline>
              <xm:f>'PRODUCTS LAUNCHED IN 2023'!AC152:AE152</xm:f>
              <xm:sqref>AH152</xm:sqref>
            </x14:sparkline>
            <x14:sparkline>
              <xm:f>'PRODUCTS LAUNCHED IN 2023'!AC153:AE153</xm:f>
              <xm:sqref>AH153</xm:sqref>
            </x14:sparkline>
            <x14:sparkline>
              <xm:f>'PRODUCTS LAUNCHED IN 2023'!AC154:AE154</xm:f>
              <xm:sqref>AH154</xm:sqref>
            </x14:sparkline>
            <x14:sparkline>
              <xm:f>'PRODUCTS LAUNCHED IN 2023'!AC155:AE155</xm:f>
              <xm:sqref>AH155</xm:sqref>
            </x14:sparkline>
            <x14:sparkline>
              <xm:f>'PRODUCTS LAUNCHED IN 2023'!AC156:AE156</xm:f>
              <xm:sqref>AH156</xm:sqref>
            </x14:sparkline>
            <x14:sparkline>
              <xm:f>'PRODUCTS LAUNCHED IN 2023'!AC157:AE157</xm:f>
              <xm:sqref>AH157</xm:sqref>
            </x14:sparkline>
            <x14:sparkline>
              <xm:f>'PRODUCTS LAUNCHED IN 2023'!AC158:AE158</xm:f>
              <xm:sqref>AH158</xm:sqref>
            </x14:sparkline>
            <x14:sparkline>
              <xm:f>'PRODUCTS LAUNCHED IN 2023'!AC159:AE159</xm:f>
              <xm:sqref>AH159</xm:sqref>
            </x14:sparkline>
            <x14:sparkline>
              <xm:f>'PRODUCTS LAUNCHED IN 2023'!AC160:AE160</xm:f>
              <xm:sqref>AH160</xm:sqref>
            </x14:sparkline>
            <x14:sparkline>
              <xm:f>'PRODUCTS LAUNCHED IN 2023'!AC161:AE161</xm:f>
              <xm:sqref>AH161</xm:sqref>
            </x14:sparkline>
            <x14:sparkline>
              <xm:f>'PRODUCTS LAUNCHED IN 2023'!AC162:AE162</xm:f>
              <xm:sqref>AH162</xm:sqref>
            </x14:sparkline>
            <x14:sparkline>
              <xm:f>'PRODUCTS LAUNCHED IN 2023'!AC163:AE163</xm:f>
              <xm:sqref>AH163</xm:sqref>
            </x14:sparkline>
            <x14:sparkline>
              <xm:f>'PRODUCTS LAUNCHED IN 2023'!AC164:AE164</xm:f>
              <xm:sqref>AH164</xm:sqref>
            </x14:sparkline>
            <x14:sparkline>
              <xm:f>'PRODUCTS LAUNCHED IN 2023'!AC165:AE165</xm:f>
              <xm:sqref>AH165</xm:sqref>
            </x14:sparkline>
            <x14:sparkline>
              <xm:f>'PRODUCTS LAUNCHED IN 2023'!AC166:AE166</xm:f>
              <xm:sqref>AH166</xm:sqref>
            </x14:sparkline>
            <x14:sparkline>
              <xm:f>'PRODUCTS LAUNCHED IN 2023'!AC167:AE167</xm:f>
              <xm:sqref>AH167</xm:sqref>
            </x14:sparkline>
            <x14:sparkline>
              <xm:f>'PRODUCTS LAUNCHED IN 2023'!AC168:AE168</xm:f>
              <xm:sqref>AH168</xm:sqref>
            </x14:sparkline>
            <x14:sparkline>
              <xm:f>'PRODUCTS LAUNCHED IN 2023'!AC169:AE169</xm:f>
              <xm:sqref>AH169</xm:sqref>
            </x14:sparkline>
            <x14:sparkline>
              <xm:f>'PRODUCTS LAUNCHED IN 2023'!AC170:AE170</xm:f>
              <xm:sqref>AH170</xm:sqref>
            </x14:sparkline>
            <x14:sparkline>
              <xm:f>'PRODUCTS LAUNCHED IN 2023'!AC171:AE171</xm:f>
              <xm:sqref>AH171</xm:sqref>
            </x14:sparkline>
            <x14:sparkline>
              <xm:f>'PRODUCTS LAUNCHED IN 2023'!AC172:AE172</xm:f>
              <xm:sqref>AH172</xm:sqref>
            </x14:sparkline>
            <x14:sparkline>
              <xm:f>'PRODUCTS LAUNCHED IN 2023'!AC173:AE173</xm:f>
              <xm:sqref>AH173</xm:sqref>
            </x14:sparkline>
            <x14:sparkline>
              <xm:f>'PRODUCTS LAUNCHED IN 2023'!AC174:AE174</xm:f>
              <xm:sqref>AH174</xm:sqref>
            </x14:sparkline>
            <x14:sparkline>
              <xm:f>'PRODUCTS LAUNCHED IN 2023'!AC175:AE175</xm:f>
              <xm:sqref>AH175</xm:sqref>
            </x14:sparkline>
            <x14:sparkline>
              <xm:f>'PRODUCTS LAUNCHED IN 2023'!AC176:AE176</xm:f>
              <xm:sqref>AH176</xm:sqref>
            </x14:sparkline>
            <x14:sparkline>
              <xm:f>'PRODUCTS LAUNCHED IN 2023'!AC177:AE177</xm:f>
              <xm:sqref>AH177</xm:sqref>
            </x14:sparkline>
            <x14:sparkline>
              <xm:f>'PRODUCTS LAUNCHED IN 2023'!AC178:AE178</xm:f>
              <xm:sqref>AH178</xm:sqref>
            </x14:sparkline>
            <x14:sparkline>
              <xm:f>'PRODUCTS LAUNCHED IN 2023'!AC179:AE179</xm:f>
              <xm:sqref>AH179</xm:sqref>
            </x14:sparkline>
            <x14:sparkline>
              <xm:f>'PRODUCTS LAUNCHED IN 2023'!AC180:AE180</xm:f>
              <xm:sqref>AH180</xm:sqref>
            </x14:sparkline>
            <x14:sparkline>
              <xm:f>'PRODUCTS LAUNCHED IN 2023'!AC181:AE181</xm:f>
              <xm:sqref>AH181</xm:sqref>
            </x14:sparkline>
            <x14:sparkline>
              <xm:f>'PRODUCTS LAUNCHED IN 2023'!AC182:AE182</xm:f>
              <xm:sqref>AH182</xm:sqref>
            </x14:sparkline>
            <x14:sparkline>
              <xm:f>'PRODUCTS LAUNCHED IN 2023'!AC183:AE183</xm:f>
              <xm:sqref>AH183</xm:sqref>
            </x14:sparkline>
            <x14:sparkline>
              <xm:f>'PRODUCTS LAUNCHED IN 2023'!AC184:AE184</xm:f>
              <xm:sqref>AH184</xm:sqref>
            </x14:sparkline>
            <x14:sparkline>
              <xm:f>'PRODUCTS LAUNCHED IN 2023'!AC185:AE185</xm:f>
              <xm:sqref>AH185</xm:sqref>
            </x14:sparkline>
            <x14:sparkline>
              <xm:f>'PRODUCTS LAUNCHED IN 2023'!AC186:AE186</xm:f>
              <xm:sqref>AH186</xm:sqref>
            </x14:sparkline>
            <x14:sparkline>
              <xm:f>'PRODUCTS LAUNCHED IN 2023'!AC187:AE187</xm:f>
              <xm:sqref>AH187</xm:sqref>
            </x14:sparkline>
            <x14:sparkline>
              <xm:f>'PRODUCTS LAUNCHED IN 2023'!AC188:AE188</xm:f>
              <xm:sqref>AH188</xm:sqref>
            </x14:sparkline>
            <x14:sparkline>
              <xm:f>'PRODUCTS LAUNCHED IN 2023'!AC189:AE189</xm:f>
              <xm:sqref>AH189</xm:sqref>
            </x14:sparkline>
            <x14:sparkline>
              <xm:f>'PRODUCTS LAUNCHED IN 2023'!AC190:AE190</xm:f>
              <xm:sqref>AH190</xm:sqref>
            </x14:sparkline>
            <x14:sparkline>
              <xm:f>'PRODUCTS LAUNCHED IN 2023'!AC191:AE191</xm:f>
              <xm:sqref>AH191</xm:sqref>
            </x14:sparkline>
            <x14:sparkline>
              <xm:f>'PRODUCTS LAUNCHED IN 2023'!AC192:AE192</xm:f>
              <xm:sqref>AH192</xm:sqref>
            </x14:sparkline>
            <x14:sparkline>
              <xm:f>'PRODUCTS LAUNCHED IN 2023'!AC193:AE193</xm:f>
              <xm:sqref>AH193</xm:sqref>
            </x14:sparkline>
            <x14:sparkline>
              <xm:f>'PRODUCTS LAUNCHED IN 2023'!AC194:AE194</xm:f>
              <xm:sqref>AH194</xm:sqref>
            </x14:sparkline>
            <x14:sparkline>
              <xm:f>'PRODUCTS LAUNCHED IN 2023'!AC195:AE195</xm:f>
              <xm:sqref>AH195</xm:sqref>
            </x14:sparkline>
            <x14:sparkline>
              <xm:f>'PRODUCTS LAUNCHED IN 2023'!AC196:AE196</xm:f>
              <xm:sqref>AH196</xm:sqref>
            </x14:sparkline>
            <x14:sparkline>
              <xm:f>'PRODUCTS LAUNCHED IN 2023'!AC197:AE197</xm:f>
              <xm:sqref>AH197</xm:sqref>
            </x14:sparkline>
            <x14:sparkline>
              <xm:f>'PRODUCTS LAUNCHED IN 2023'!AC198:AE198</xm:f>
              <xm:sqref>AH198</xm:sqref>
            </x14:sparkline>
            <x14:sparkline>
              <xm:f>'PRODUCTS LAUNCHED IN 2023'!AC199:AE199</xm:f>
              <xm:sqref>AH199</xm:sqref>
            </x14:sparkline>
            <x14:sparkline>
              <xm:f>'PRODUCTS LAUNCHED IN 2023'!AC200:AE200</xm:f>
              <xm:sqref>AH200</xm:sqref>
            </x14:sparkline>
            <x14:sparkline>
              <xm:f>'PRODUCTS LAUNCHED IN 2023'!AC201:AE201</xm:f>
              <xm:sqref>AH201</xm:sqref>
            </x14:sparkline>
            <x14:sparkline>
              <xm:f>'PRODUCTS LAUNCHED IN 2023'!AC202:AE202</xm:f>
              <xm:sqref>AH202</xm:sqref>
            </x14:sparkline>
            <x14:sparkline>
              <xm:f>'PRODUCTS LAUNCHED IN 2023'!AC203:AE203</xm:f>
              <xm:sqref>AH203</xm:sqref>
            </x14:sparkline>
            <x14:sparkline>
              <xm:f>'PRODUCTS LAUNCHED IN 2023'!AC204:AE204</xm:f>
              <xm:sqref>AH204</xm:sqref>
            </x14:sparkline>
            <x14:sparkline>
              <xm:f>'PRODUCTS LAUNCHED IN 2023'!AC205:AE205</xm:f>
              <xm:sqref>AH205</xm:sqref>
            </x14:sparkline>
            <x14:sparkline>
              <xm:f>'PRODUCTS LAUNCHED IN 2023'!AC206:AE206</xm:f>
              <xm:sqref>AH206</xm:sqref>
            </x14:sparkline>
            <x14:sparkline>
              <xm:f>'PRODUCTS LAUNCHED IN 2023'!AC207:AE207</xm:f>
              <xm:sqref>AH207</xm:sqref>
            </x14:sparkline>
            <x14:sparkline>
              <xm:f>'PRODUCTS LAUNCHED IN 2023'!AC208:AE208</xm:f>
              <xm:sqref>AH208</xm:sqref>
            </x14:sparkline>
            <x14:sparkline>
              <xm:f>'PRODUCTS LAUNCHED IN 2023'!AC209:AE209</xm:f>
              <xm:sqref>AH209</xm:sqref>
            </x14:sparkline>
            <x14:sparkline>
              <xm:f>'PRODUCTS LAUNCHED IN 2023'!AC210:AE210</xm:f>
              <xm:sqref>AH210</xm:sqref>
            </x14:sparkline>
            <x14:sparkline>
              <xm:f>'PRODUCTS LAUNCHED IN 2023'!AC211:AE211</xm:f>
              <xm:sqref>AH211</xm:sqref>
            </x14:sparkline>
            <x14:sparkline>
              <xm:f>'PRODUCTS LAUNCHED IN 2023'!AC212:AE212</xm:f>
              <xm:sqref>AH212</xm:sqref>
            </x14:sparkline>
            <x14:sparkline>
              <xm:f>'PRODUCTS LAUNCHED IN 2023'!AC213:AE213</xm:f>
              <xm:sqref>AH213</xm:sqref>
            </x14:sparkline>
            <x14:sparkline>
              <xm:f>'PRODUCTS LAUNCHED IN 2023'!AC214:AE214</xm:f>
              <xm:sqref>AH214</xm:sqref>
            </x14:sparkline>
            <x14:sparkline>
              <xm:f>'PRODUCTS LAUNCHED IN 2023'!AC215:AE215</xm:f>
              <xm:sqref>AH215</xm:sqref>
            </x14:sparkline>
            <x14:sparkline>
              <xm:f>'PRODUCTS LAUNCHED IN 2023'!AC216:AE216</xm:f>
              <xm:sqref>AH216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7B03-4062-4C4A-BDF2-14AB76F9834C}">
  <dimension ref="A1:M43"/>
  <sheetViews>
    <sheetView workbookViewId="0">
      <selection activeCell="F4" sqref="F4"/>
    </sheetView>
  </sheetViews>
  <sheetFormatPr defaultRowHeight="14.4" x14ac:dyDescent="0.3"/>
  <cols>
    <col min="2" max="2" width="13.21875" bestFit="1" customWidth="1"/>
    <col min="3" max="3" width="10.109375" bestFit="1" customWidth="1"/>
    <col min="4" max="4" width="14.77734375" style="18" bestFit="1" customWidth="1"/>
    <col min="5" max="5" width="10.109375" bestFit="1" customWidth="1"/>
    <col min="6" max="6" width="13.21875" style="18" bestFit="1" customWidth="1"/>
    <col min="8" max="8" width="23.21875" bestFit="1" customWidth="1"/>
    <col min="9" max="9" width="16.21875" bestFit="1" customWidth="1"/>
    <col min="10" max="10" width="10" bestFit="1" customWidth="1"/>
    <col min="11" max="11" width="12.109375" style="18" bestFit="1" customWidth="1"/>
    <col min="12" max="12" width="11.109375" bestFit="1" customWidth="1"/>
    <col min="13" max="13" width="11" style="18" bestFit="1" customWidth="1"/>
  </cols>
  <sheetData>
    <row r="1" spans="1:13" ht="28.8" customHeight="1" x14ac:dyDescent="0.3">
      <c r="A1" s="70" t="s">
        <v>0</v>
      </c>
      <c r="B1" s="71" t="s">
        <v>1</v>
      </c>
      <c r="C1" s="67" t="s">
        <v>76</v>
      </c>
      <c r="D1" s="67"/>
      <c r="E1" s="67" t="s">
        <v>77</v>
      </c>
      <c r="F1" s="67"/>
      <c r="H1" s="48" t="s">
        <v>92</v>
      </c>
      <c r="I1" s="48" t="s">
        <v>93</v>
      </c>
      <c r="J1" s="48" t="s">
        <v>109</v>
      </c>
      <c r="K1" s="49" t="s">
        <v>110</v>
      </c>
      <c r="L1" s="15" t="s">
        <v>154</v>
      </c>
      <c r="M1" s="50" t="s">
        <v>155</v>
      </c>
    </row>
    <row r="2" spans="1:13" x14ac:dyDescent="0.3">
      <c r="A2" s="70"/>
      <c r="B2" s="71"/>
      <c r="C2" s="17" t="s">
        <v>78</v>
      </c>
      <c r="D2" s="23" t="s">
        <v>79</v>
      </c>
      <c r="E2" s="17" t="s">
        <v>78</v>
      </c>
      <c r="F2" s="23" t="s">
        <v>79</v>
      </c>
      <c r="H2" s="68" t="s">
        <v>165</v>
      </c>
      <c r="I2" s="2" t="s">
        <v>156</v>
      </c>
      <c r="J2" s="2">
        <v>50</v>
      </c>
      <c r="K2" s="20">
        <v>32350</v>
      </c>
      <c r="L2" s="2"/>
      <c r="M2" s="20"/>
    </row>
    <row r="3" spans="1:13" x14ac:dyDescent="0.3">
      <c r="A3" s="11">
        <v>1</v>
      </c>
      <c r="B3" s="2" t="s">
        <v>161</v>
      </c>
      <c r="C3" s="2">
        <v>2903</v>
      </c>
      <c r="D3" s="20">
        <v>1796094.0199999998</v>
      </c>
      <c r="E3" s="2">
        <v>337</v>
      </c>
      <c r="F3" s="20">
        <v>209353.56</v>
      </c>
      <c r="H3" s="68"/>
      <c r="I3" s="2" t="s">
        <v>141</v>
      </c>
      <c r="J3" s="2">
        <v>30</v>
      </c>
      <c r="K3" s="20">
        <v>18555.739999999998</v>
      </c>
      <c r="L3" s="2">
        <v>30</v>
      </c>
      <c r="M3" s="20">
        <v>18810.48</v>
      </c>
    </row>
    <row r="4" spans="1:13" x14ac:dyDescent="0.3">
      <c r="A4" s="11">
        <v>2</v>
      </c>
      <c r="B4" s="2" t="s">
        <v>162</v>
      </c>
      <c r="C4" s="2">
        <v>2970</v>
      </c>
      <c r="D4" s="20">
        <v>260268.72000000003</v>
      </c>
      <c r="E4" s="2">
        <v>1255</v>
      </c>
      <c r="F4" s="20">
        <v>114570.3</v>
      </c>
      <c r="H4" s="68"/>
      <c r="I4" s="2" t="s">
        <v>157</v>
      </c>
      <c r="J4" s="2">
        <v>80</v>
      </c>
      <c r="K4" s="20">
        <v>50050.81</v>
      </c>
      <c r="L4" s="2">
        <v>10</v>
      </c>
      <c r="M4" s="20">
        <v>6175.24</v>
      </c>
    </row>
    <row r="5" spans="1:13" x14ac:dyDescent="0.3">
      <c r="A5" s="11">
        <v>3</v>
      </c>
      <c r="B5" s="2" t="s">
        <v>163</v>
      </c>
      <c r="C5" s="2">
        <v>141187.78</v>
      </c>
      <c r="D5" s="20">
        <v>19516457.080000002</v>
      </c>
      <c r="E5" s="2">
        <v>23371</v>
      </c>
      <c r="F5" s="20">
        <v>3383331.57</v>
      </c>
      <c r="H5" s="68"/>
      <c r="I5" s="2" t="s">
        <v>153</v>
      </c>
      <c r="J5" s="2">
        <v>20</v>
      </c>
      <c r="K5" s="20">
        <v>12370.07</v>
      </c>
      <c r="L5" s="2"/>
      <c r="M5" s="20"/>
    </row>
    <row r="6" spans="1:13" x14ac:dyDescent="0.3">
      <c r="A6" s="66" t="s">
        <v>164</v>
      </c>
      <c r="B6" s="66"/>
      <c r="C6" s="42">
        <f>SUM(C3:C5)</f>
        <v>147060.78</v>
      </c>
      <c r="D6" s="45">
        <f t="shared" ref="D6:F6" si="0">SUM(D3:D5)</f>
        <v>21572819.82</v>
      </c>
      <c r="E6" s="42">
        <f t="shared" si="0"/>
        <v>24963</v>
      </c>
      <c r="F6" s="45">
        <f t="shared" si="0"/>
        <v>3707255.4299999997</v>
      </c>
      <c r="H6" s="68"/>
      <c r="I6" s="2" t="s">
        <v>159</v>
      </c>
      <c r="J6" s="2">
        <v>140</v>
      </c>
      <c r="K6" s="20">
        <v>86590.50999999998</v>
      </c>
      <c r="L6" s="2"/>
      <c r="M6" s="20"/>
    </row>
    <row r="7" spans="1:13" x14ac:dyDescent="0.3">
      <c r="H7" s="68"/>
      <c r="I7" s="2" t="s">
        <v>143</v>
      </c>
      <c r="J7" s="2">
        <v>220</v>
      </c>
      <c r="K7" s="20">
        <v>138729.78999999998</v>
      </c>
      <c r="L7" s="2">
        <v>100</v>
      </c>
      <c r="M7" s="20">
        <v>61750.02</v>
      </c>
    </row>
    <row r="8" spans="1:13" x14ac:dyDescent="0.3">
      <c r="H8" s="68"/>
      <c r="I8" s="2" t="s">
        <v>144</v>
      </c>
      <c r="J8" s="2">
        <v>240</v>
      </c>
      <c r="K8" s="20">
        <v>146920.55000000002</v>
      </c>
      <c r="L8" s="2"/>
      <c r="M8" s="20"/>
    </row>
    <row r="9" spans="1:13" x14ac:dyDescent="0.3">
      <c r="H9" s="68"/>
      <c r="I9" s="2" t="s">
        <v>145</v>
      </c>
      <c r="J9" s="2">
        <v>490</v>
      </c>
      <c r="K9" s="20">
        <v>302211.5</v>
      </c>
      <c r="L9" s="2">
        <v>60</v>
      </c>
      <c r="M9" s="20">
        <v>37905.74</v>
      </c>
    </row>
    <row r="10" spans="1:13" x14ac:dyDescent="0.3">
      <c r="H10" s="68"/>
      <c r="I10" s="2" t="s">
        <v>81</v>
      </c>
      <c r="J10" s="2">
        <v>370</v>
      </c>
      <c r="K10" s="20">
        <v>229511.90999999997</v>
      </c>
      <c r="L10" s="2">
        <v>20</v>
      </c>
      <c r="M10" s="20">
        <v>12350.24</v>
      </c>
    </row>
    <row r="11" spans="1:13" x14ac:dyDescent="0.3">
      <c r="H11" s="68"/>
      <c r="I11" s="2" t="s">
        <v>146</v>
      </c>
      <c r="J11" s="2">
        <v>461</v>
      </c>
      <c r="K11" s="20">
        <v>285233.19999999995</v>
      </c>
      <c r="L11" s="2">
        <v>2</v>
      </c>
      <c r="M11" s="20">
        <v>1063.7000000000007</v>
      </c>
    </row>
    <row r="12" spans="1:13" x14ac:dyDescent="0.3">
      <c r="H12" s="68"/>
      <c r="I12" s="2" t="s">
        <v>147</v>
      </c>
      <c r="J12" s="2">
        <v>270</v>
      </c>
      <c r="K12" s="20">
        <v>162055.52000000002</v>
      </c>
      <c r="L12" s="2">
        <v>55</v>
      </c>
      <c r="M12" s="20">
        <v>33962.270000000004</v>
      </c>
    </row>
    <row r="13" spans="1:13" x14ac:dyDescent="0.3">
      <c r="H13" s="68"/>
      <c r="I13" s="2" t="s">
        <v>148</v>
      </c>
      <c r="J13" s="2">
        <v>140</v>
      </c>
      <c r="K13" s="20">
        <v>86590.5</v>
      </c>
      <c r="L13" s="2"/>
      <c r="M13" s="20"/>
    </row>
    <row r="14" spans="1:13" x14ac:dyDescent="0.3">
      <c r="H14" s="68"/>
      <c r="I14" s="2" t="s">
        <v>82</v>
      </c>
      <c r="J14" s="2">
        <v>372</v>
      </c>
      <c r="K14" s="20">
        <v>232269.00999999998</v>
      </c>
      <c r="L14" s="2">
        <v>20</v>
      </c>
      <c r="M14" s="20">
        <v>12635.24</v>
      </c>
    </row>
    <row r="15" spans="1:13" x14ac:dyDescent="0.3">
      <c r="H15" s="68"/>
      <c r="I15" s="2" t="s">
        <v>150</v>
      </c>
      <c r="J15" s="2">
        <v>20</v>
      </c>
      <c r="K15" s="20">
        <v>12654.91</v>
      </c>
      <c r="L15" s="2">
        <v>40</v>
      </c>
      <c r="M15" s="20">
        <v>24700.629999999997</v>
      </c>
    </row>
    <row r="16" spans="1:13" x14ac:dyDescent="0.3">
      <c r="H16" s="66" t="s">
        <v>168</v>
      </c>
      <c r="I16" s="66"/>
      <c r="J16" s="42">
        <f>SUM(J2:J15)</f>
        <v>2903</v>
      </c>
      <c r="K16" s="45">
        <f t="shared" ref="K16:M16" si="1">SUM(K2:K15)</f>
        <v>1796094.0199999998</v>
      </c>
      <c r="L16" s="42">
        <f t="shared" si="1"/>
        <v>337</v>
      </c>
      <c r="M16" s="45">
        <f t="shared" si="1"/>
        <v>209353.56</v>
      </c>
    </row>
    <row r="17" spans="8:13" x14ac:dyDescent="0.3">
      <c r="H17" s="68" t="s">
        <v>166</v>
      </c>
      <c r="I17" s="2" t="s">
        <v>140</v>
      </c>
      <c r="J17" s="2">
        <v>50</v>
      </c>
      <c r="K17" s="20">
        <v>4039.93</v>
      </c>
      <c r="L17" s="2"/>
      <c r="M17" s="20"/>
    </row>
    <row r="18" spans="8:13" x14ac:dyDescent="0.3">
      <c r="H18" s="68"/>
      <c r="I18" s="2" t="s">
        <v>144</v>
      </c>
      <c r="J18" s="2">
        <v>10</v>
      </c>
      <c r="K18" s="20">
        <v>807.85</v>
      </c>
      <c r="L18" s="2"/>
      <c r="M18" s="20"/>
    </row>
    <row r="19" spans="8:13" x14ac:dyDescent="0.3">
      <c r="H19" s="68"/>
      <c r="I19" s="2" t="s">
        <v>145</v>
      </c>
      <c r="J19" s="2">
        <v>1245</v>
      </c>
      <c r="K19" s="20">
        <v>116556.49</v>
      </c>
      <c r="L19" s="2">
        <v>60</v>
      </c>
      <c r="M19" s="20">
        <v>5700.01</v>
      </c>
    </row>
    <row r="20" spans="8:13" x14ac:dyDescent="0.3">
      <c r="H20" s="68"/>
      <c r="I20" s="2" t="s">
        <v>150</v>
      </c>
      <c r="J20" s="2"/>
      <c r="K20" s="20"/>
      <c r="L20">
        <v>60</v>
      </c>
      <c r="M20" s="18">
        <v>5700.03</v>
      </c>
    </row>
    <row r="21" spans="8:13" x14ac:dyDescent="0.3">
      <c r="H21" s="68"/>
      <c r="I21" s="2" t="s">
        <v>81</v>
      </c>
      <c r="J21" s="2">
        <v>795</v>
      </c>
      <c r="K21" s="20">
        <v>65679</v>
      </c>
      <c r="L21" s="2">
        <v>450</v>
      </c>
      <c r="M21" s="20">
        <v>38451.46</v>
      </c>
    </row>
    <row r="22" spans="8:13" x14ac:dyDescent="0.3">
      <c r="H22" s="68"/>
      <c r="I22" s="2" t="s">
        <v>146</v>
      </c>
      <c r="J22" s="2">
        <v>90</v>
      </c>
      <c r="K22" s="20">
        <v>8640.5</v>
      </c>
      <c r="L22" s="2">
        <v>600</v>
      </c>
      <c r="M22" s="20">
        <v>57000</v>
      </c>
    </row>
    <row r="23" spans="8:13" x14ac:dyDescent="0.3">
      <c r="H23" s="68"/>
      <c r="I23" s="2" t="s">
        <v>82</v>
      </c>
      <c r="J23" s="2">
        <v>780</v>
      </c>
      <c r="K23" s="20">
        <v>64544.950000000004</v>
      </c>
      <c r="L23" s="2">
        <v>85</v>
      </c>
      <c r="M23" s="20">
        <v>7718.7999999999993</v>
      </c>
    </row>
    <row r="24" spans="8:13" x14ac:dyDescent="0.3">
      <c r="H24" s="66" t="s">
        <v>169</v>
      </c>
      <c r="I24" s="66"/>
      <c r="J24" s="42">
        <f>SUM(J17:J23)</f>
        <v>2970</v>
      </c>
      <c r="K24" s="45">
        <f t="shared" ref="K24:M24" si="2">SUM(K17:K23)</f>
        <v>260268.72000000003</v>
      </c>
      <c r="L24" s="42">
        <f t="shared" si="2"/>
        <v>1255</v>
      </c>
      <c r="M24" s="45">
        <f t="shared" si="2"/>
        <v>114570.3</v>
      </c>
    </row>
    <row r="25" spans="8:13" x14ac:dyDescent="0.3">
      <c r="H25" s="68" t="s">
        <v>167</v>
      </c>
      <c r="I25" s="2" t="s">
        <v>140</v>
      </c>
      <c r="J25" s="2">
        <v>820</v>
      </c>
      <c r="K25" s="20">
        <v>123178.08</v>
      </c>
      <c r="L25" s="2">
        <v>275</v>
      </c>
      <c r="M25" s="20">
        <v>36100.1</v>
      </c>
    </row>
    <row r="26" spans="8:13" x14ac:dyDescent="0.3">
      <c r="H26" s="68"/>
      <c r="I26" s="2" t="s">
        <v>156</v>
      </c>
      <c r="J26" s="2">
        <v>6760</v>
      </c>
      <c r="K26" s="20">
        <v>921536.89</v>
      </c>
      <c r="L26" s="2">
        <v>600</v>
      </c>
      <c r="M26" s="20">
        <v>79664.170000000013</v>
      </c>
    </row>
    <row r="27" spans="8:13" x14ac:dyDescent="0.3">
      <c r="H27" s="68"/>
      <c r="I27" s="2" t="s">
        <v>141</v>
      </c>
      <c r="J27" s="2">
        <v>23193</v>
      </c>
      <c r="K27" s="20">
        <v>3008238.6700000004</v>
      </c>
      <c r="L27" s="2">
        <v>5169</v>
      </c>
      <c r="M27" s="20">
        <v>673650.46</v>
      </c>
    </row>
    <row r="28" spans="8:13" x14ac:dyDescent="0.3">
      <c r="H28" s="68"/>
      <c r="I28" s="2" t="s">
        <v>158</v>
      </c>
      <c r="J28" s="2">
        <v>1216</v>
      </c>
      <c r="K28" s="20">
        <v>159765.45000000001</v>
      </c>
      <c r="L28" s="2">
        <v>480</v>
      </c>
      <c r="M28" s="20">
        <v>61560.2</v>
      </c>
    </row>
    <row r="29" spans="8:13" x14ac:dyDescent="0.3">
      <c r="H29" s="68"/>
      <c r="I29" s="2" t="s">
        <v>157</v>
      </c>
      <c r="J29" s="2">
        <v>7008</v>
      </c>
      <c r="K29" s="20">
        <v>902533.92</v>
      </c>
      <c r="L29" s="2">
        <v>600</v>
      </c>
      <c r="M29" s="20">
        <v>78546.570000000007</v>
      </c>
    </row>
    <row r="30" spans="8:13" x14ac:dyDescent="0.3">
      <c r="H30" s="68"/>
      <c r="I30" s="2" t="s">
        <v>153</v>
      </c>
      <c r="J30" s="2">
        <v>645</v>
      </c>
      <c r="K30" s="20">
        <v>164471.54999999999</v>
      </c>
      <c r="L30" s="2">
        <v>125</v>
      </c>
      <c r="M30" s="20">
        <v>16625.400000000001</v>
      </c>
    </row>
    <row r="31" spans="8:13" x14ac:dyDescent="0.3">
      <c r="H31" s="68"/>
      <c r="I31" s="2" t="s">
        <v>144</v>
      </c>
      <c r="J31" s="2">
        <v>6216</v>
      </c>
      <c r="K31" s="20">
        <v>938555.39</v>
      </c>
      <c r="L31" s="2">
        <v>835</v>
      </c>
      <c r="M31" s="20">
        <v>143202.81</v>
      </c>
    </row>
    <row r="32" spans="8:13" x14ac:dyDescent="0.3">
      <c r="H32" s="68"/>
      <c r="I32" s="2" t="s">
        <v>152</v>
      </c>
      <c r="J32" s="2">
        <v>1400</v>
      </c>
      <c r="K32" s="20">
        <v>178146.59999999998</v>
      </c>
      <c r="L32" s="2">
        <v>228</v>
      </c>
      <c r="M32" s="20">
        <v>180499.78</v>
      </c>
    </row>
    <row r="33" spans="8:13" x14ac:dyDescent="0.3">
      <c r="H33" s="68"/>
      <c r="I33" s="2" t="s">
        <v>145</v>
      </c>
      <c r="J33" s="2">
        <v>25198</v>
      </c>
      <c r="K33" s="20">
        <v>3325084.2699999996</v>
      </c>
      <c r="L33" s="2">
        <v>5602</v>
      </c>
      <c r="M33" s="20">
        <v>757686.59</v>
      </c>
    </row>
    <row r="34" spans="8:13" x14ac:dyDescent="0.3">
      <c r="H34" s="68"/>
      <c r="I34" s="2" t="s">
        <v>81</v>
      </c>
      <c r="J34" s="2">
        <v>9603.69</v>
      </c>
      <c r="K34" s="20">
        <v>1398145.6500000001</v>
      </c>
      <c r="L34" s="2">
        <v>2197</v>
      </c>
      <c r="M34" s="20">
        <v>334582.90000000002</v>
      </c>
    </row>
    <row r="35" spans="8:13" x14ac:dyDescent="0.3">
      <c r="H35" s="68"/>
      <c r="I35" s="2" t="s">
        <v>146</v>
      </c>
      <c r="J35" s="2">
        <v>2535</v>
      </c>
      <c r="K35" s="20">
        <v>521252.52000000008</v>
      </c>
      <c r="L35" s="2">
        <v>2106</v>
      </c>
      <c r="M35" s="20">
        <v>291463.21000000002</v>
      </c>
    </row>
    <row r="36" spans="8:13" x14ac:dyDescent="0.3">
      <c r="H36" s="68"/>
      <c r="I36" s="2" t="s">
        <v>160</v>
      </c>
      <c r="J36" s="2">
        <v>1616</v>
      </c>
      <c r="K36" s="20">
        <v>586378.41000000015</v>
      </c>
      <c r="L36" s="2">
        <v>926</v>
      </c>
      <c r="M36" s="20">
        <v>136299.63</v>
      </c>
    </row>
    <row r="37" spans="8:13" x14ac:dyDescent="0.3">
      <c r="H37" s="68"/>
      <c r="I37" s="2" t="s">
        <v>151</v>
      </c>
      <c r="J37" s="2">
        <v>264.08999999999997</v>
      </c>
      <c r="K37" s="20">
        <v>34959.67</v>
      </c>
      <c r="L37" s="2"/>
      <c r="M37" s="20"/>
    </row>
    <row r="38" spans="8:13" x14ac:dyDescent="0.3">
      <c r="H38" s="68"/>
      <c r="I38" s="2" t="s">
        <v>147</v>
      </c>
      <c r="J38" s="2">
        <v>40511</v>
      </c>
      <c r="K38" s="20">
        <v>5044166.580000001</v>
      </c>
      <c r="L38" s="2">
        <v>50</v>
      </c>
      <c r="M38" s="20">
        <v>6317.47</v>
      </c>
    </row>
    <row r="39" spans="8:13" x14ac:dyDescent="0.3">
      <c r="H39" s="68"/>
      <c r="I39" s="2" t="s">
        <v>148</v>
      </c>
      <c r="J39" s="2">
        <v>1602</v>
      </c>
      <c r="K39" s="20">
        <v>230060.17000000004</v>
      </c>
      <c r="L39" s="2"/>
      <c r="M39" s="20"/>
    </row>
    <row r="40" spans="8:13" x14ac:dyDescent="0.3">
      <c r="H40" s="68"/>
      <c r="I40" s="2" t="s">
        <v>82</v>
      </c>
      <c r="J40" s="2">
        <v>8658</v>
      </c>
      <c r="K40" s="20">
        <v>1423556.93</v>
      </c>
      <c r="L40" s="2">
        <v>3650</v>
      </c>
      <c r="M40" s="20">
        <v>514892.52999999997</v>
      </c>
    </row>
    <row r="41" spans="8:13" x14ac:dyDescent="0.3">
      <c r="H41" s="68"/>
      <c r="I41" s="2" t="s">
        <v>150</v>
      </c>
      <c r="J41" s="2">
        <v>3942</v>
      </c>
      <c r="K41" s="20">
        <v>556426.32999999996</v>
      </c>
      <c r="L41" s="2">
        <v>528</v>
      </c>
      <c r="M41" s="20">
        <v>72239.75</v>
      </c>
    </row>
    <row r="42" spans="8:13" x14ac:dyDescent="0.3">
      <c r="H42" s="66" t="s">
        <v>170</v>
      </c>
      <c r="I42" s="66"/>
      <c r="J42" s="42">
        <f>SUM(J25:J41)</f>
        <v>141187.78</v>
      </c>
      <c r="K42" s="45">
        <f t="shared" ref="K42:M42" si="3">SUM(K25:K41)</f>
        <v>19516457.080000002</v>
      </c>
      <c r="L42" s="42">
        <f t="shared" si="3"/>
        <v>23371</v>
      </c>
      <c r="M42" s="45">
        <f t="shared" si="3"/>
        <v>3383331.57</v>
      </c>
    </row>
    <row r="43" spans="8:13" x14ac:dyDescent="0.3">
      <c r="H43" s="69" t="s">
        <v>137</v>
      </c>
      <c r="I43" s="69"/>
      <c r="J43" s="51">
        <f>SUM(J42,J24,J16)</f>
        <v>147060.78</v>
      </c>
      <c r="K43" s="52">
        <f t="shared" ref="K43:M43" si="4">SUM(K42,K24,K16)</f>
        <v>21572819.82</v>
      </c>
      <c r="L43" s="51">
        <f t="shared" si="4"/>
        <v>24963</v>
      </c>
      <c r="M43" s="52">
        <f t="shared" si="4"/>
        <v>3707255.4299999997</v>
      </c>
    </row>
  </sheetData>
  <mergeCells count="12">
    <mergeCell ref="H2:H15"/>
    <mergeCell ref="H16:I16"/>
    <mergeCell ref="A6:B6"/>
    <mergeCell ref="A1:A2"/>
    <mergeCell ref="B1:B2"/>
    <mergeCell ref="C1:D1"/>
    <mergeCell ref="E1:F1"/>
    <mergeCell ref="H24:I24"/>
    <mergeCell ref="H17:H23"/>
    <mergeCell ref="H42:I42"/>
    <mergeCell ref="H25:H41"/>
    <mergeCell ref="H43:I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 LAUNCHED IN 2021</vt:lpstr>
      <vt:lpstr>PRODUCTS LAUNCHED IN 2022</vt:lpstr>
      <vt:lpstr>PRODUCTS LAUNCHED IN 2023</vt:lpstr>
      <vt:lpstr>PRODUCTS LAUNCHED IN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KARNIK</dc:creator>
  <cp:lastModifiedBy>PRAJWAL KARNIK</cp:lastModifiedBy>
  <dcterms:created xsi:type="dcterms:W3CDTF">2025-07-18T04:23:27Z</dcterms:created>
  <dcterms:modified xsi:type="dcterms:W3CDTF">2025-07-22T10:27:38Z</dcterms:modified>
</cp:coreProperties>
</file>